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3"/>
    <sheet name="01_ASSUMPTIONS" sheetId="2" state="visible" r:id="rId4"/>
    <sheet name="02_UNITS" sheetId="3" state="visible" r:id="rId5"/>
    <sheet name="03_STRUCTURES" sheetId="4" state="visible" r:id="rId6"/>
    <sheet name="04_COUNTERS" sheetId="5" state="visible" r:id="rId7"/>
    <sheet name="05_FACTION_COMPARE" sheetId="6" state="visible" r:id="rId8"/>
    <sheet name="06_WAVE_PLAN" sheetId="7" state="visible" r:id="rId9"/>
    <sheet name="07_CHANGELOG" sheetId="8" state="visible" r:id="rId10"/>
  </sheets>
  <definedNames>
    <definedName function="false" hidden="true" localSheetId="1" name="_xlnm._FilterDatabase" vbProcedure="false">01_ASSUMPTIONS!$A$2:$F$27</definedName>
    <definedName function="false" hidden="false" localSheetId="2" name="_xlnm.Print_Titles" vbProcedure="false">02_UNITS!$1:$2</definedName>
    <definedName function="false" hidden="true" localSheetId="2" name="_xlnm._FilterDatabase" vbProcedure="false">02_UNITS!$A$2:$AD$161</definedName>
    <definedName function="false" hidden="true" localSheetId="3" name="_xlnm._FilterDatabase" vbProcedure="false">03_STRUCTURES!$A$2:$L$37</definedName>
    <definedName function="false" hidden="false" name="AirVsArmor" vbProcedure="false">01_ASSUMPTIONS!$B$9</definedName>
    <definedName function="false" hidden="false" name="ArtyVsBuilding" vbProcedure="false">01_ASSUMPTIONS!$B$11</definedName>
    <definedName function="false" hidden="false" name="ATGMVsArmor" vbProcedure="false">01_ASSUMPTIONS!$B$10</definedName>
    <definedName function="false" hidden="false" name="DronePaint" vbProcedure="false">01_ASSUMPTIONS!$B$19</definedName>
    <definedName function="false" hidden="false" name="EliteHPBonus" vbProcedure="false">01_ASSUMPTIONS!$B$4</definedName>
    <definedName function="false" hidden="false" name="HarvesterCost" vbProcedure="false">01_ASSUMPTIONS!$B$24</definedName>
    <definedName function="false" hidden="false" name="HarvesterHP" vbProcedure="false">01_ASSUMPTIONS!$B$25</definedName>
    <definedName function="false" hidden="false" name="HeavyArmorMult" vbProcedure="false">01_ASSUMPTIONS!$B$8</definedName>
    <definedName function="false" hidden="false" name="HeroicPerk" vbProcedure="false">01_ASSUMPTIONS!$B$5</definedName>
    <definedName function="false" hidden="false" name="InterceptBavar" vbProcedure="false">01_ASSUMPTIONS!$B$16</definedName>
    <definedName function="false" hidden="false" name="InterceptDome" vbProcedure="false">01_ASSUMPTIONS!$B$12</definedName>
    <definedName function="false" hidden="false" name="InterceptPatriot" vbProcedure="false">01_ASSUMPTIONS!$B$14</definedName>
    <definedName function="false" hidden="false" name="InterceptS400" vbProcedure="false">01_ASSUMPTIONS!$B$13</definedName>
    <definedName function="false" hidden="false" name="InterceptSiper" vbProcedure="false">01_ASSUMPTIONS!$B$15</definedName>
    <definedName function="false" hidden="false" name="LightArmorMult" vbProcedure="false">01_ASSUMPTIONS!$B$6</definedName>
    <definedName function="false" hidden="false" name="LowPowerPenalty" vbProcedure="false">01_ASSUMPTIONS!$B$23</definedName>
    <definedName function="false" hidden="false" name="MBTTargetCost" vbProcedure="false">01_ASSUMPTIONS!$B$26</definedName>
    <definedName function="false" hidden="false" name="MedArmorMult" vbProcedure="false">01_ASSUMPTIONS!$B$7</definedName>
    <definedName function="false" hidden="false" name="OilIncomePerField" vbProcedure="false">01_ASSUMPTIONS!$B$21</definedName>
    <definedName function="false" hidden="false" name="PowerPlantOutput" vbProcedure="false">01_ASSUMPTIONS!$B$22</definedName>
    <definedName function="false" hidden="false" name="RifleTargetCost" vbProcedure="false">01_ASSUMPTIONS!$B$27</definedName>
    <definedName function="false" hidden="false" name="StartCredits" vbProcedure="false">01_ASSUMPTIONS!$B$20</definedName>
    <definedName function="false" hidden="false" name="SwarmHP" vbProcedure="false">01_ASSUMPTIONS!$B$17</definedName>
    <definedName function="false" hidden="false" name="TrophyCD" vbProcedure="false">01_ASSUMPTIONS!$B$18</definedName>
    <definedName function="false" hidden="false" name="VetDmgBonus" vbProcedure="false">01_ASSUMPTIONS!$B$3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<sst xmlns="http://schemas.openxmlformats.org/spreadsheetml/2006/main" count="2344" uniqueCount="1096">
  <si>
    <t xml:space="preserve">ASH-SHARQ: DESERT COMMAND  —  UNIT STAT SHEET  v0.2</t>
  </si>
  <si>
    <t xml:space="preserve">Nine-faction balance workbook for the design / programming team. Pair with GDD v0.1 + v0.2 addendum.</t>
  </si>
  <si>
    <t xml:space="preserve">HOW THIS FILE WORKS</t>
  </si>
  <si>
    <t xml:space="preserve">Yellow cells with BLUE numbers are INPUTS. Change those. Everything black is a formula — do not type over it.</t>
  </si>
  <si>
    <t xml:space="preserve">01_ASSUMPTIONS holds the global knobs (veterancy, armour multipliers, intercept chances). Change a knob, the Units sheet updates.</t>
  </si>
  <si>
    <t xml:space="preserve">02_UNITS is the live roster. Filter by Faction or Wave. Derived columns (DPS, Cost/HP, Combat Index) recalculate.</t>
  </si>
  <si>
    <t xml:space="preserve">03_STRUCTURES is production and defence buildings. Power and build-radius live here.</t>
  </si>
  <si>
    <t xml:space="preserve">04_COUNTERS is class-vs-class expected damage multipliers. Used by Combat Index.</t>
  </si>
  <si>
    <t xml:space="preserve">05_FACTION_COMPARE rolls the roster up so you can see if Saudi air is actually better than Egypt air.</t>
  </si>
  <si>
    <t xml:space="preserve">06_WAVE_PLAN is the ship order from the GDD. Do not art Wave 3 before Wave 0 is fun.</t>
  </si>
  <si>
    <t xml:space="preserve">07_CHANGELOG is empty on purpose. Date every stat edit. If you do not, the next pass will fight you.</t>
  </si>
  <si>
    <t xml:space="preserve">SCALE</t>
  </si>
  <si>
    <t xml:space="preserve">Numbers are RA3-family, not milsim. A rifle squad is ~150 credits / 120 HP. An MBT is ~1500 / 1100. A match is 12–25 minutes.</t>
  </si>
  <si>
    <t xml:space="preserve">Damage is ‘per volley’ against that armour class. DPS = Volley ÷ ROF_sec. Combat Index is a designer heuristic, not gospel.</t>
  </si>
  <si>
    <t xml:space="preserve">Wave 0 slice units are tagged WAVE0. Those must be tuned first. Everything else is a placeholder that should feel right, not final.</t>
  </si>
  <si>
    <t xml:space="preserve">COLOUR KEY</t>
  </si>
  <si>
    <t xml:space="preserve">Blue text + yellow fill = input (you edit).  Black text = formula.  Green text on COMPARE = pulled from UNITS.</t>
  </si>
  <si>
    <t xml:space="preserve">RULES OF THE FENCE</t>
  </si>
  <si>
    <t xml:space="preserve">No nuclear weapons. No living politicians as units. Do not give Egypt an F-35, Iran an Abrams, Pakistan a Rafale, Israel a T-90.</t>
  </si>
  <si>
    <t xml:space="preserve">If a matchup sits at 70/30 after a week of play, change COST or BUILD TIME first, identity second, HP last.</t>
  </si>
  <si>
    <t xml:space="preserve">Workbook version</t>
  </si>
  <si>
    <t xml:space="preserve">0.2.0</t>
  </si>
  <si>
    <t xml:space="preserve">Date</t>
  </si>
  <si>
    <t xml:space="preserve">2026-08-29</t>
  </si>
  <si>
    <t xml:space="preserve">Status</t>
  </si>
  <si>
    <t xml:space="preserve">FIRST PASS — slice numbers are playable guesses, not shipped values</t>
  </si>
  <si>
    <t xml:space="preserve">GLOBAL KNOBS  —  edit yellow / blue only</t>
  </si>
  <si>
    <t xml:space="preserve">Key</t>
  </si>
  <si>
    <t xml:space="preserve">Value</t>
  </si>
  <si>
    <t xml:space="preserve">Unit</t>
  </si>
  <si>
    <t xml:space="preserve">Used by</t>
  </si>
  <si>
    <t xml:space="preserve">Notes</t>
  </si>
  <si>
    <t xml:space="preserve">Locked?</t>
  </si>
  <si>
    <t xml:space="preserve">VetDmgBonus</t>
  </si>
  <si>
    <t xml:space="preserve">ratio</t>
  </si>
  <si>
    <t xml:space="preserve">UNITS Combat Index</t>
  </si>
  <si>
    <t xml:space="preserve">Veteran rank damage multiplier added</t>
  </si>
  <si>
    <t xml:space="preserve">N</t>
  </si>
  <si>
    <t xml:space="preserve">EliteHPBonus</t>
  </si>
  <si>
    <t xml:space="preserve">Elite rank extra HP</t>
  </si>
  <si>
    <t xml:space="preserve">HeroicPerk</t>
  </si>
  <si>
    <t xml:space="preserve">Heroic extra mixed bonus (approx)</t>
  </si>
  <si>
    <t xml:space="preserve">LightArmorMult</t>
  </si>
  <si>
    <t xml:space="preserve">04_COUNTERS</t>
  </si>
  <si>
    <t xml:space="preserve">Incoming vs light vehicles</t>
  </si>
  <si>
    <t xml:space="preserve">MedArmorMult</t>
  </si>
  <si>
    <t xml:space="preserve">Incoming vs IFV / medium</t>
  </si>
  <si>
    <t xml:space="preserve">HeavyArmorMult</t>
  </si>
  <si>
    <t xml:space="preserve">Incoming vs MBT (thicker, so attacker needs more)</t>
  </si>
  <si>
    <t xml:space="preserve">AirVsArmor</t>
  </si>
  <si>
    <t xml:space="preserve">Attack helo / A2G vs tanks if no AA</t>
  </si>
  <si>
    <t xml:space="preserve">ATGMVsArmor</t>
  </si>
  <si>
    <t xml:space="preserve">ATGM vs MBT if they see it</t>
  </si>
  <si>
    <t xml:space="preserve">ArtyVsBuilding</t>
  </si>
  <si>
    <t xml:space="preserve">Artillery / MLRS vs structures</t>
  </si>
  <si>
    <t xml:space="preserve">InterceptDome</t>
  </si>
  <si>
    <t xml:space="preserve">chance</t>
  </si>
  <si>
    <t xml:space="preserve">Israel Iron Layer</t>
  </si>
  <si>
    <t xml:space="preserve">Iron Dome vs rocket / cruise</t>
  </si>
  <si>
    <t xml:space="preserve">InterceptS400</t>
  </si>
  <si>
    <t xml:space="preserve">Algeria / India umbrella</t>
  </si>
  <si>
    <t xml:space="preserve">S-400 vs jet / cruise / lofted ballistic</t>
  </si>
  <si>
    <t xml:space="preserve">InterceptPatriot</t>
  </si>
  <si>
    <t xml:space="preserve">Saudi umbrella</t>
  </si>
  <si>
    <t xml:space="preserve">Patriot vs jet / cruise</t>
  </si>
  <si>
    <t xml:space="preserve">InterceptSiper</t>
  </si>
  <si>
    <t xml:space="preserve">Turkey umbrella</t>
  </si>
  <si>
    <t xml:space="preserve">Siper vs jet / cruise</t>
  </si>
  <si>
    <t xml:space="preserve">InterceptBavar</t>
  </si>
  <si>
    <t xml:space="preserve">Iran umbrella</t>
  </si>
  <si>
    <t xml:space="preserve">Bavar-373 vs jet / cruise</t>
  </si>
  <si>
    <t xml:space="preserve">SwarmHP</t>
  </si>
  <si>
    <t xml:space="preserve">HP</t>
  </si>
  <si>
    <t xml:space="preserve">Iran Shahed-136</t>
  </si>
  <si>
    <t xml:space="preserve">One-way drone hit points</t>
  </si>
  <si>
    <t xml:space="preserve">TrophyCD</t>
  </si>
  <si>
    <t xml:space="preserve">sec</t>
  </si>
  <si>
    <t xml:space="preserve">Israel Merkava / Namer</t>
  </si>
  <si>
    <t xml:space="preserve">Seconds between APS eats</t>
  </si>
  <si>
    <t xml:space="preserve">DronePaint</t>
  </si>
  <si>
    <t xml:space="preserve">Turkey SİHA mesh</t>
  </si>
  <si>
    <t xml:space="preserve">Seconds a spot persists after LOS loss</t>
  </si>
  <si>
    <t xml:space="preserve">StartCredits</t>
  </si>
  <si>
    <t xml:space="preserve">cr</t>
  </si>
  <si>
    <t xml:space="preserve">Match start</t>
  </si>
  <si>
    <t xml:space="preserve">1v1 standard</t>
  </si>
  <si>
    <t xml:space="preserve">OilIncomePerField</t>
  </si>
  <si>
    <t xml:space="preserve">cr/s</t>
  </si>
  <si>
    <t xml:space="preserve">Economy</t>
  </si>
  <si>
    <t xml:space="preserve">Per owned oil field with a living harvester</t>
  </si>
  <si>
    <t xml:space="preserve">PowerPlantOutput</t>
  </si>
  <si>
    <t xml:space="preserve">pwr</t>
  </si>
  <si>
    <t xml:space="preserve">Structures</t>
  </si>
  <si>
    <t xml:space="preserve">Standard plant</t>
  </si>
  <si>
    <t xml:space="preserve">LowPowerPenalty</t>
  </si>
  <si>
    <t xml:space="preserve">Production</t>
  </si>
  <si>
    <t xml:space="preserve">Build speed penalty when power is negative</t>
  </si>
  <si>
    <t xml:space="preserve">HarvesterCost</t>
  </si>
  <si>
    <t xml:space="preserve">Oil truck</t>
  </si>
  <si>
    <t xml:space="preserve">HarvesterHP</t>
  </si>
  <si>
    <t xml:space="preserve">MBTTargetCost</t>
  </si>
  <si>
    <t xml:space="preserve">Tuning aid</t>
  </si>
  <si>
    <t xml:space="preserve">What a 'standard' MBT should cost. Compare CostΔ.</t>
  </si>
  <si>
    <t xml:space="preserve">RifleTargetCost</t>
  </si>
  <si>
    <t xml:space="preserve">What a rifle squad should cost.</t>
  </si>
  <si>
    <t xml:space="preserve">Hint: after a balance day, duplicate this sheet as 01_ASSUMPTIONS_BAK so you can diff. Do not hide inputs in comments.</t>
  </si>
  <si>
    <t xml:space="preserve">UNIT ROSTER  —  yellow/blue = edit   black = formula   filter Faction or Wave   WAVE0 = slice, tune these first</t>
  </si>
  <si>
    <t xml:space="preserve">ID</t>
  </si>
  <si>
    <t xml:space="preserve">Faction</t>
  </si>
  <si>
    <t xml:space="preserve">Wave</t>
  </si>
  <si>
    <t xml:space="preserve">Name</t>
  </si>
  <si>
    <t xml:space="preserve">Class</t>
  </si>
  <si>
    <t xml:space="preserve">Role</t>
  </si>
  <si>
    <t xml:space="preserve">Domain</t>
  </si>
  <si>
    <t xml:space="preserve">Cost_cr</t>
  </si>
  <si>
    <t xml:space="preserve">Build_s</t>
  </si>
  <si>
    <t xml:space="preserve">ArmorClass</t>
  </si>
  <si>
    <t xml:space="preserve">Speed</t>
  </si>
  <si>
    <t xml:space="preserve">Sight</t>
  </si>
  <si>
    <t xml:space="preserve">Dmg_Inf</t>
  </si>
  <si>
    <t xml:space="preserve">Dmg_Light</t>
  </si>
  <si>
    <t xml:space="preserve">Dmg_Armor</t>
  </si>
  <si>
    <t xml:space="preserve">Dmg_Air</t>
  </si>
  <si>
    <t xml:space="preserve">Dmg_Bldg</t>
  </si>
  <si>
    <t xml:space="preserve">Range</t>
  </si>
  <si>
    <t xml:space="preserve">ROF_s</t>
  </si>
  <si>
    <t xml:space="preserve">Ability</t>
  </si>
  <si>
    <t xml:space="preserve">SoftCounter</t>
  </si>
  <si>
    <t xml:space="preserve">HardCounter</t>
  </si>
  <si>
    <t xml:space="preserve">DPS_Inf</t>
  </si>
  <si>
    <t xml:space="preserve">DPS_Armor</t>
  </si>
  <si>
    <t xml:space="preserve">DPS_Air</t>
  </si>
  <si>
    <t xml:space="preserve">Cost_per_HP</t>
  </si>
  <si>
    <t xml:space="preserve">CostΔ_vs_MBTref</t>
  </si>
  <si>
    <t xml:space="preserve">CombatIndex</t>
  </si>
  <si>
    <t xml:space="preserve">EG-01</t>
  </si>
  <si>
    <t xml:space="preserve">Egypt</t>
  </si>
  <si>
    <t xml:space="preserve">WAVE0</t>
  </si>
  <si>
    <t xml:space="preserve">Rifle squad</t>
  </si>
  <si>
    <t xml:space="preserve">Infantry</t>
  </si>
  <si>
    <t xml:space="preserve">Line</t>
  </si>
  <si>
    <t xml:space="preserve">Land</t>
  </si>
  <si>
    <t xml:space="preserve">Soft</t>
  </si>
  <si>
    <t xml:space="preserve">Smoke grenade</t>
  </si>
  <si>
    <t xml:space="preserve">IFV</t>
  </si>
  <si>
    <t xml:space="preserve">Tank in open</t>
  </si>
  <si>
    <t xml:space="preserve">Slice unit</t>
  </si>
  <si>
    <t xml:space="preserve">EG-02</t>
  </si>
  <si>
    <t xml:space="preserve">Kornet team</t>
  </si>
  <si>
    <t xml:space="preserve">AT infantry</t>
  </si>
  <si>
    <t xml:space="preserve">AT</t>
  </si>
  <si>
    <t xml:space="preserve">Top-attack mode</t>
  </si>
  <si>
    <t xml:space="preserve">Artillery / air</t>
  </si>
  <si>
    <t xml:space="preserve">Closing light vehicle</t>
  </si>
  <si>
    <t xml:space="preserve">Slice unit. Identity AT.</t>
  </si>
  <si>
    <t xml:space="preserve">EG-03</t>
  </si>
  <si>
    <t xml:space="preserve">Igla/Stinger team</t>
  </si>
  <si>
    <t xml:space="preserve">AA infantry</t>
  </si>
  <si>
    <t xml:space="preserve">AA</t>
  </si>
  <si>
    <t xml:space="preserve">Flare decoy</t>
  </si>
  <si>
    <t xml:space="preserve">Artillery</t>
  </si>
  <si>
    <t xml:space="preserve">High jet</t>
  </si>
  <si>
    <t xml:space="preserve">EG-04</t>
  </si>
  <si>
    <t xml:space="preserve">Engineer</t>
  </si>
  <si>
    <t xml:space="preserve">Utility</t>
  </si>
  <si>
    <t xml:space="preserve">Capture / repair</t>
  </si>
  <si>
    <t xml:space="preserve">Anything that shoots</t>
  </si>
  <si>
    <t xml:space="preserve">Being escorted</t>
  </si>
  <si>
    <t xml:space="preserve">EG-05</t>
  </si>
  <si>
    <t xml:space="preserve">YPR-765 / BMP-1</t>
  </si>
  <si>
    <t xml:space="preserve">Transport</t>
  </si>
  <si>
    <t xml:space="preserve">Medium</t>
  </si>
  <si>
    <t xml:space="preserve">Carries 1 squad</t>
  </si>
  <si>
    <t xml:space="preserve">ATGM</t>
  </si>
  <si>
    <t xml:space="preserve">Pure air</t>
  </si>
  <si>
    <t xml:space="preserve">EG-06</t>
  </si>
  <si>
    <t xml:space="preserve">M60A3</t>
  </si>
  <si>
    <t xml:space="preserve">Light tank</t>
  </si>
  <si>
    <t xml:space="preserve">Budget MBT</t>
  </si>
  <si>
    <t xml:space="preserve">Heavy</t>
  </si>
  <si>
    <t xml:space="preserve">—</t>
  </si>
  <si>
    <t xml:space="preserve">Modern AT / air</t>
  </si>
  <si>
    <t xml:space="preserve">Infantry in open</t>
  </si>
  <si>
    <t xml:space="preserve">EG-07</t>
  </si>
  <si>
    <t xml:space="preserve">M1A1 SA Ramses</t>
  </si>
  <si>
    <t xml:space="preserve">MBT</t>
  </si>
  <si>
    <t xml:space="preserve">Main tank</t>
  </si>
  <si>
    <t xml:space="preserve">Canister / MPAT switch</t>
  </si>
  <si>
    <t xml:space="preserve">ATGM + air</t>
  </si>
  <si>
    <t xml:space="preserve">Other MBT</t>
  </si>
  <si>
    <t xml:space="preserve">EG-08</t>
  </si>
  <si>
    <t xml:space="preserve">M109 / K9</t>
  </si>
  <si>
    <t xml:space="preserve">SPG</t>
  </si>
  <si>
    <t xml:space="preserve">Shoot-and-scoot</t>
  </si>
  <si>
    <t xml:space="preserve">Air / raiders</t>
  </si>
  <si>
    <t xml:space="preserve">Spotted blob</t>
  </si>
  <si>
    <t xml:space="preserve">EG-09</t>
  </si>
  <si>
    <t xml:space="preserve">AH-64D Apache</t>
  </si>
  <si>
    <t xml:space="preserve">Attack helo</t>
  </si>
  <si>
    <t xml:space="preserve">AT air</t>
  </si>
  <si>
    <t xml:space="preserve">Air</t>
  </si>
  <si>
    <t xml:space="preserve">Pop-up Hellfire</t>
  </si>
  <si>
    <t xml:space="preserve">MANPADS / SAM / fighter</t>
  </si>
  <si>
    <t xml:space="preserve">Tanks no AA</t>
  </si>
  <si>
    <t xml:space="preserve">EG-10</t>
  </si>
  <si>
    <t xml:space="preserve">F-16C</t>
  </si>
  <si>
    <t xml:space="preserve">Fighter</t>
  </si>
  <si>
    <t xml:space="preserve">Multirole</t>
  </si>
  <si>
    <t xml:space="preserve">A2A / A2G switch at field</t>
  </si>
  <si>
    <t xml:space="preserve">SAM / better fighter</t>
  </si>
  <si>
    <t xml:space="preserve">Helo / strike</t>
  </si>
  <si>
    <t xml:space="preserve">EG-11</t>
  </si>
  <si>
    <t xml:space="preserve">WAVE1</t>
  </si>
  <si>
    <t xml:space="preserve">Sa'ka operator</t>
  </si>
  <si>
    <t xml:space="preserve">SF</t>
  </si>
  <si>
    <t xml:space="preserve">Raid</t>
  </si>
  <si>
    <t xml:space="preserve">Stealth near cover + C4</t>
  </si>
  <si>
    <t xml:space="preserve">Detection + numbers</t>
  </si>
  <si>
    <t xml:space="preserve">Buildings</t>
  </si>
  <si>
    <t xml:space="preserve">EG-12</t>
  </si>
  <si>
    <t xml:space="preserve">Fahd APC</t>
  </si>
  <si>
    <t xml:space="preserve">APC</t>
  </si>
  <si>
    <t xml:space="preserve">Taxi</t>
  </si>
  <si>
    <t xml:space="preserve">Light</t>
  </si>
  <si>
    <t xml:space="preserve">Cheap wheels</t>
  </si>
  <si>
    <t xml:space="preserve">Auto-cannon</t>
  </si>
  <si>
    <t xml:space="preserve">Infantry walks</t>
  </si>
  <si>
    <t xml:space="preserve">EG-13</t>
  </si>
  <si>
    <t xml:space="preserve">T-90MS (limited)</t>
  </si>
  <si>
    <t xml:space="preserve">Tier-3 tank</t>
  </si>
  <si>
    <t xml:space="preserve">Do not spam</t>
  </si>
  <si>
    <t xml:space="preserve">Air + ATGM</t>
  </si>
  <si>
    <t xml:space="preserve">Peer MBT</t>
  </si>
  <si>
    <t xml:space="preserve">Few per factory</t>
  </si>
  <si>
    <t xml:space="preserve">EG-14</t>
  </si>
  <si>
    <t xml:space="preserve">BM-21 Grad</t>
  </si>
  <si>
    <t xml:space="preserve">MLRS</t>
  </si>
  <si>
    <t xml:space="preserve">Area</t>
  </si>
  <si>
    <t xml:space="preserve">Barrage</t>
  </si>
  <si>
    <t xml:space="preserve">Blobs / buildings</t>
  </si>
  <si>
    <t xml:space="preserve">Inaccurate</t>
  </si>
  <si>
    <t xml:space="preserve">EG-15</t>
  </si>
  <si>
    <t xml:space="preserve">Ka-52 Alligator</t>
  </si>
  <si>
    <t xml:space="preserve">Heavy helo</t>
  </si>
  <si>
    <t xml:space="preserve">Vikhr</t>
  </si>
  <si>
    <t xml:space="preserve">MANPADS</t>
  </si>
  <si>
    <t xml:space="preserve">Armour</t>
  </si>
  <si>
    <t xml:space="preserve">EG-16</t>
  </si>
  <si>
    <t xml:space="preserve">Rafale</t>
  </si>
  <si>
    <t xml:space="preserve">Premium</t>
  </si>
  <si>
    <t xml:space="preserve">SCALP-flavour long CD</t>
  </si>
  <si>
    <t xml:space="preserve">SAM</t>
  </si>
  <si>
    <t xml:space="preserve">Air + strike</t>
  </si>
  <si>
    <t xml:space="preserve">EG-17</t>
  </si>
  <si>
    <t xml:space="preserve">MiG-29M</t>
  </si>
  <si>
    <t xml:space="preserve">Dogfight</t>
  </si>
  <si>
    <t xml:space="preserve">A2A focus</t>
  </si>
  <si>
    <t xml:space="preserve">Long SAM</t>
  </si>
  <si>
    <t xml:space="preserve">Enemy fighters</t>
  </si>
  <si>
    <t xml:space="preserve">EG-18</t>
  </si>
  <si>
    <t xml:space="preserve">Missile boat</t>
  </si>
  <si>
    <t xml:space="preserve">Naval</t>
  </si>
  <si>
    <t xml:space="preserve">FAC</t>
  </si>
  <si>
    <t xml:space="preserve">Sea</t>
  </si>
  <si>
    <t xml:space="preserve">Anti-ship + shore</t>
  </si>
  <si>
    <t xml:space="preserve">Air / frigate</t>
  </si>
  <si>
    <t xml:space="preserve">Unescorted landing</t>
  </si>
  <si>
    <t xml:space="preserve">EG-19</t>
  </si>
  <si>
    <t xml:space="preserve">FREMM-style frigate</t>
  </si>
  <si>
    <t xml:space="preserve">AA sea</t>
  </si>
  <si>
    <t xml:space="preserve">Exocet + Aster flavour</t>
  </si>
  <si>
    <t xml:space="preserve">Sub / mass air</t>
  </si>
  <si>
    <t xml:space="preserve">Air over water</t>
  </si>
  <si>
    <t xml:space="preserve">EG-20</t>
  </si>
  <si>
    <t xml:space="preserve">Type-209 flavour sub</t>
  </si>
  <si>
    <t xml:space="preserve">Stealth</t>
  </si>
  <si>
    <t xml:space="preserve">Torpedo / scout</t>
  </si>
  <si>
    <t xml:space="preserve">Sonar buildings</t>
  </si>
  <si>
    <t xml:space="preserve">Surface fleet</t>
  </si>
  <si>
    <t xml:space="preserve">Detectable</t>
  </si>
  <si>
    <t xml:space="preserve">DZ-01</t>
  </si>
  <si>
    <t xml:space="preserve">Algeria</t>
  </si>
  <si>
    <t xml:space="preserve">ANP rifle squad</t>
  </si>
  <si>
    <t xml:space="preserve">Entrench (+armor, immobile)</t>
  </si>
  <si>
    <t xml:space="preserve">IFV / TOS</t>
  </si>
  <si>
    <t xml:space="preserve">Slice unit. Cheaper than Egypt.</t>
  </si>
  <si>
    <t xml:space="preserve">DZ-02</t>
  </si>
  <si>
    <t xml:space="preserve">Closing light</t>
  </si>
  <si>
    <t xml:space="preserve">DZ-03</t>
  </si>
  <si>
    <t xml:space="preserve">Igla team</t>
  </si>
  <si>
    <t xml:space="preserve">DZ-04</t>
  </si>
  <si>
    <t xml:space="preserve">Anything</t>
  </si>
  <si>
    <t xml:space="preserve">Escort</t>
  </si>
  <si>
    <t xml:space="preserve">DZ-05</t>
  </si>
  <si>
    <t xml:space="preserve">BMP-2M Kornet</t>
  </si>
  <si>
    <t xml:space="preserve">Workhorse</t>
  </si>
  <si>
    <t xml:space="preserve">Kornet rack</t>
  </si>
  <si>
    <t xml:space="preserve">ATGM / tank</t>
  </si>
  <si>
    <t xml:space="preserve">DZ-06</t>
  </si>
  <si>
    <t xml:space="preserve">T-72M</t>
  </si>
  <si>
    <t xml:space="preserve">Meat shield</t>
  </si>
  <si>
    <t xml:space="preserve">Cheap wall</t>
  </si>
  <si>
    <t xml:space="preserve">DZ-07</t>
  </si>
  <si>
    <t xml:space="preserve">T-90SA</t>
  </si>
  <si>
    <t xml:space="preserve">Shtora dazzler (ATGM break chance)</t>
  </si>
  <si>
    <t xml:space="preserve">Slice unit. Faction cheaper tanks.</t>
  </si>
  <si>
    <t xml:space="preserve">DZ-08</t>
  </si>
  <si>
    <t xml:space="preserve">TOS-1A</t>
  </si>
  <si>
    <t xml:space="preserve">Thermobaric</t>
  </si>
  <si>
    <t xml:space="preserve">Short-range horror vs garrison / inf</t>
  </si>
  <si>
    <t xml:space="preserve">Air / tanks front</t>
  </si>
  <si>
    <t xml:space="preserve">City / blobs</t>
  </si>
  <si>
    <t xml:space="preserve">Slice identity unit</t>
  </si>
  <si>
    <t xml:space="preserve">DZ-09</t>
  </si>
  <si>
    <t xml:space="preserve">Mi-28NE</t>
  </si>
  <si>
    <t xml:space="preserve">Tougher, less precise than Apache</t>
  </si>
  <si>
    <t xml:space="preserve">MANPADS / fighter</t>
  </si>
  <si>
    <t xml:space="preserve">DZ-10</t>
  </si>
  <si>
    <t xml:space="preserve">Su-30MKA</t>
  </si>
  <si>
    <t xml:space="preserve">Main jet</t>
  </si>
  <si>
    <t xml:space="preserve">R-77 flavour long shot</t>
  </si>
  <si>
    <t xml:space="preserve">S-400 peer / F-35</t>
  </si>
  <si>
    <t xml:space="preserve">Strike + air</t>
  </si>
  <si>
    <t xml:space="preserve">DZ-11</t>
  </si>
  <si>
    <t xml:space="preserve">Fuchs 2</t>
  </si>
  <si>
    <t xml:space="preserve">Mine-resist</t>
  </si>
  <si>
    <t xml:space="preserve">DZ-12</t>
  </si>
  <si>
    <t xml:space="preserve">BMPT-72 Terminator</t>
  </si>
  <si>
    <t xml:space="preserve">Tank escort</t>
  </si>
  <si>
    <t xml:space="preserve">Anti-infantry</t>
  </si>
  <si>
    <t xml:space="preserve">Eats ATGM teams and infantry</t>
  </si>
  <si>
    <t xml:space="preserve">Tanks / air</t>
  </si>
  <si>
    <t xml:space="preserve">Infantry blobs</t>
  </si>
  <si>
    <t xml:space="preserve">Identity</t>
  </si>
  <si>
    <t xml:space="preserve">DZ-13</t>
  </si>
  <si>
    <t xml:space="preserve">2S1 Gvozdika</t>
  </si>
  <si>
    <t xml:space="preserve">Light arty</t>
  </si>
  <si>
    <t xml:space="preserve">DZ-14</t>
  </si>
  <si>
    <t xml:space="preserve">BM-30 Smerch</t>
  </si>
  <si>
    <t xml:space="preserve">Heavy rockets</t>
  </si>
  <si>
    <t xml:space="preserve">Identity MLRS</t>
  </si>
  <si>
    <t xml:space="preserve">Air / counterbattery</t>
  </si>
  <si>
    <t xml:space="preserve">Base</t>
  </si>
  <si>
    <t xml:space="preserve">DZ-15</t>
  </si>
  <si>
    <t xml:space="preserve">Pantsir-S1</t>
  </si>
  <si>
    <t xml:space="preserve">Mobile AA</t>
  </si>
  <si>
    <t xml:space="preserve">Gun+missile</t>
  </si>
  <si>
    <t xml:space="preserve">Best vs helo and cruise</t>
  </si>
  <si>
    <t xml:space="preserve">SEAD / tanks</t>
  </si>
  <si>
    <t xml:space="preserve">Identity AA</t>
  </si>
  <si>
    <t xml:space="preserve">DZ-16</t>
  </si>
  <si>
    <t xml:space="preserve">MiG-29</t>
  </si>
  <si>
    <t xml:space="preserve">Cheap air</t>
  </si>
  <si>
    <t xml:space="preserve">Better fighter / SAM</t>
  </si>
  <si>
    <t xml:space="preserve">Helo</t>
  </si>
  <si>
    <t xml:space="preserve">DZ-17</t>
  </si>
  <si>
    <t xml:space="preserve">Su-24 / Su-34 flavour</t>
  </si>
  <si>
    <t xml:space="preserve">Strike jet</t>
  </si>
  <si>
    <t xml:space="preserve">A2G</t>
  </si>
  <si>
    <t xml:space="preserve">Poor dogfight</t>
  </si>
  <si>
    <t xml:space="preserve">Fighter / SAM</t>
  </si>
  <si>
    <t xml:space="preserve">DZ-18</t>
  </si>
  <si>
    <t xml:space="preserve">Kilo 636 flavour</t>
  </si>
  <si>
    <t xml:space="preserve">Sub</t>
  </si>
  <si>
    <t xml:space="preserve">Club-S land-attack 1-shot long CD</t>
  </si>
  <si>
    <t xml:space="preserve">ASW</t>
  </si>
  <si>
    <t xml:space="preserve">Coast / fleet</t>
  </si>
  <si>
    <t xml:space="preserve">SA-01</t>
  </si>
  <si>
    <t xml:space="preserve">Saudi</t>
  </si>
  <si>
    <t xml:space="preserve">SANG infantry</t>
  </si>
  <si>
    <t xml:space="preserve">Line+</t>
  </si>
  <si>
    <t xml:space="preserve">Mount/dismount technical</t>
  </si>
  <si>
    <t xml:space="preserve">Tank</t>
  </si>
  <si>
    <t xml:space="preserve">Better than basic rifle</t>
  </si>
  <si>
    <t xml:space="preserve">SA-02</t>
  </si>
  <si>
    <t xml:space="preserve">TOW team</t>
  </si>
  <si>
    <t xml:space="preserve">Steer 2 seconds</t>
  </si>
  <si>
    <t xml:space="preserve">SA-03</t>
  </si>
  <si>
    <t xml:space="preserve">Avenger</t>
  </si>
  <si>
    <t xml:space="preserve">AA humvee</t>
  </si>
  <si>
    <t xml:space="preserve">Stinger rack</t>
  </si>
  <si>
    <t xml:space="preserve">Tanks</t>
  </si>
  <si>
    <t xml:space="preserve">Helo / drone</t>
  </si>
  <si>
    <t xml:space="preserve">SA-04</t>
  </si>
  <si>
    <t xml:space="preserve">SA-05</t>
  </si>
  <si>
    <t xml:space="preserve">M2A2 Bradley</t>
  </si>
  <si>
    <t xml:space="preserve">Best IFV</t>
  </si>
  <si>
    <t xml:space="preserve">TOW</t>
  </si>
  <si>
    <t xml:space="preserve">Infantry + light</t>
  </si>
  <si>
    <t xml:space="preserve">Identity IFV</t>
  </si>
  <si>
    <t xml:space="preserve">SA-06</t>
  </si>
  <si>
    <t xml:space="preserve">M-ATV</t>
  </si>
  <si>
    <t xml:space="preserve">Light vehicle</t>
  </si>
  <si>
    <t xml:space="preserve">HMG or ATGM variant</t>
  </si>
  <si>
    <t xml:space="preserve">Auto-cannon / air</t>
  </si>
  <si>
    <t xml:space="preserve">Harvesters</t>
  </si>
  <si>
    <t xml:space="preserve">SA-07</t>
  </si>
  <si>
    <t xml:space="preserve">Reserve</t>
  </si>
  <si>
    <t xml:space="preserve">Modern AT</t>
  </si>
  <si>
    <t xml:space="preserve">SA-08</t>
  </si>
  <si>
    <t xml:space="preserve">M1A2S Abrams</t>
  </si>
  <si>
    <t xml:space="preserve">Best Western tank</t>
  </si>
  <si>
    <t xml:space="preserve">Blow-out panel (1 pen = crit not death)</t>
  </si>
  <si>
    <t xml:space="preserve">Air + ATGM mass</t>
  </si>
  <si>
    <t xml:space="preserve">Identity tank</t>
  </si>
  <si>
    <t xml:space="preserve">SA-09</t>
  </si>
  <si>
    <t xml:space="preserve">CAESAR</t>
  </si>
  <si>
    <t xml:space="preserve">Truck gun</t>
  </si>
  <si>
    <t xml:space="preserve">Fast reposition</t>
  </si>
  <si>
    <t xml:space="preserve">SA-10</t>
  </si>
  <si>
    <t xml:space="preserve">M270 MLRS</t>
  </si>
  <si>
    <t xml:space="preserve">Guided-ish</t>
  </si>
  <si>
    <t xml:space="preserve">More precise than Grad</t>
  </si>
  <si>
    <t xml:space="preserve">SA-11</t>
  </si>
  <si>
    <t xml:space="preserve">AH-64E Apache</t>
  </si>
  <si>
    <t xml:space="preserve">Best AT helo</t>
  </si>
  <si>
    <t xml:space="preserve">Longbow cone reveal</t>
  </si>
  <si>
    <t xml:space="preserve">SA-12</t>
  </si>
  <si>
    <t xml:space="preserve">UH-60 Black Hawk</t>
  </si>
  <si>
    <t xml:space="preserve">Transport helo</t>
  </si>
  <si>
    <t xml:space="preserve">Lift</t>
  </si>
  <si>
    <t xml:space="preserve">Carries squads</t>
  </si>
  <si>
    <t xml:space="preserve">Behind lines</t>
  </si>
  <si>
    <t xml:space="preserve">SA-13</t>
  </si>
  <si>
    <t xml:space="preserve">F-15SA</t>
  </si>
  <si>
    <t xml:space="preserve">King of air</t>
  </si>
  <si>
    <t xml:space="preserve">Heavy A2G or air superiority</t>
  </si>
  <si>
    <t xml:space="preserve">S-400 / F-35</t>
  </si>
  <si>
    <t xml:space="preserve">Anything in sky</t>
  </si>
  <si>
    <t xml:space="preserve">Identity jet</t>
  </si>
  <si>
    <t xml:space="preserve">SA-14</t>
  </si>
  <si>
    <t xml:space="preserve">Eurofighter Typhoon</t>
  </si>
  <si>
    <t xml:space="preserve">Agile</t>
  </si>
  <si>
    <t xml:space="preserve">Better dogfight than payload</t>
  </si>
  <si>
    <t xml:space="preserve">Fighters</t>
  </si>
  <si>
    <t xml:space="preserve">SA-15</t>
  </si>
  <si>
    <t xml:space="preserve">Tornado IDS</t>
  </si>
  <si>
    <t xml:space="preserve">Aging strike</t>
  </si>
  <si>
    <t xml:space="preserve">Do not dogfight</t>
  </si>
  <si>
    <t xml:space="preserve">AE-01</t>
  </si>
  <si>
    <t xml:space="preserve">UAE</t>
  </si>
  <si>
    <t xml:space="preserve">Presidential Guard</t>
  </si>
  <si>
    <t xml:space="preserve">Elite inf</t>
  </si>
  <si>
    <t xml:space="preserve">Breach charge</t>
  </si>
  <si>
    <t xml:space="preserve">Garrison</t>
  </si>
  <si>
    <t xml:space="preserve">Expensive infantry</t>
  </si>
  <si>
    <t xml:space="preserve">AE-02</t>
  </si>
  <si>
    <t xml:space="preserve">Javelin team</t>
  </si>
  <si>
    <t xml:space="preserve">Best inf AT</t>
  </si>
  <si>
    <t xml:space="preserve">Fire-and-forget</t>
  </si>
  <si>
    <t xml:space="preserve">AE-03</t>
  </si>
  <si>
    <t xml:space="preserve">AE-04</t>
  </si>
  <si>
    <t xml:space="preserve">Nimr Ajban</t>
  </si>
  <si>
    <t xml:space="preserve">Desert 4x4</t>
  </si>
  <si>
    <t xml:space="preserve">HMG or Kornet</t>
  </si>
  <si>
    <t xml:space="preserve">AE-05</t>
  </si>
  <si>
    <t xml:space="preserve">BMP-3</t>
  </si>
  <si>
    <t xml:space="preserve">Heavy IFV</t>
  </si>
  <si>
    <t xml:space="preserve">100mm + 30mm</t>
  </si>
  <si>
    <t xml:space="preserve">AE-06</t>
  </si>
  <si>
    <t xml:space="preserve">Rabdan 8x8</t>
  </si>
  <si>
    <t xml:space="preserve">Wheeled IFV</t>
  </si>
  <si>
    <t xml:space="preserve">Smoke + dismount</t>
  </si>
  <si>
    <t xml:space="preserve">Manoeuvre</t>
  </si>
  <si>
    <t xml:space="preserve">AE-07</t>
  </si>
  <si>
    <t xml:space="preserve">Leclerc</t>
  </si>
  <si>
    <t xml:space="preserve">Fast MBT</t>
  </si>
  <si>
    <t xml:space="preserve">Autoloader burst (3 shots, long reload)</t>
  </si>
  <si>
    <t xml:space="preserve">Flank</t>
  </si>
  <si>
    <t xml:space="preserve">Identity tank — speed</t>
  </si>
  <si>
    <t xml:space="preserve">AE-08</t>
  </si>
  <si>
    <t xml:space="preserve">G6 Rhino</t>
  </si>
  <si>
    <t xml:space="preserve">Wheeled heavy</t>
  </si>
  <si>
    <t xml:space="preserve">AE-09</t>
  </si>
  <si>
    <t xml:space="preserve">HIMARS</t>
  </si>
  <si>
    <t xml:space="preserve">Precision</t>
  </si>
  <si>
    <t xml:space="preserve">ATACMS-flavour 1 rocket long CD</t>
  </si>
  <si>
    <t xml:space="preserve">Air / hunters</t>
  </si>
  <si>
    <t xml:space="preserve">Conyard</t>
  </si>
  <si>
    <t xml:space="preserve">Identity unit</t>
  </si>
  <si>
    <t xml:space="preserve">AE-10</t>
  </si>
  <si>
    <t xml:space="preserve">AH-64 Apache</t>
  </si>
  <si>
    <t xml:space="preserve">AE-11</t>
  </si>
  <si>
    <t xml:space="preserve">CH-47 Chinook</t>
  </si>
  <si>
    <t xml:space="preserve">Heavy lift</t>
  </si>
  <si>
    <t xml:space="preserve">Can carry a vehicle</t>
  </si>
  <si>
    <t xml:space="preserve">Rear</t>
  </si>
  <si>
    <t xml:space="preserve">AE-12</t>
  </si>
  <si>
    <t xml:space="preserve">F-16E Block 60</t>
  </si>
  <si>
    <t xml:space="preserve">Best-in-class multi</t>
  </si>
  <si>
    <t xml:space="preserve">Long station time</t>
  </si>
  <si>
    <t xml:space="preserve">SAM / F-15 / F-35</t>
  </si>
  <si>
    <t xml:space="preserve">Mixed</t>
  </si>
  <si>
    <t xml:space="preserve">AE-13</t>
  </si>
  <si>
    <t xml:space="preserve">Mirage 2000-9</t>
  </si>
  <si>
    <t xml:space="preserve">Aging</t>
  </si>
  <si>
    <t xml:space="preserve">Cheap interceptor / strike</t>
  </si>
  <si>
    <t xml:space="preserve">Better fighter</t>
  </si>
  <si>
    <t xml:space="preserve">AE-14</t>
  </si>
  <si>
    <t xml:space="preserve">Rafale (late)</t>
  </si>
  <si>
    <t xml:space="preserve">Tier-3</t>
  </si>
  <si>
    <t xml:space="preserve">Locked behind late tech</t>
  </si>
  <si>
    <t xml:space="preserve">Not at game start</t>
  </si>
  <si>
    <t xml:space="preserve">AE-15</t>
  </si>
  <si>
    <t xml:space="preserve">Baynunah corvette</t>
  </si>
  <si>
    <t xml:space="preserve">Corvette</t>
  </si>
  <si>
    <t xml:space="preserve">Anti-ship + modest AA</t>
  </si>
  <si>
    <t xml:space="preserve">Air mass / sub</t>
  </si>
  <si>
    <t xml:space="preserve">Boats</t>
  </si>
  <si>
    <t xml:space="preserve">TR-01</t>
  </si>
  <si>
    <t xml:space="preserve">Turkey</t>
  </si>
  <si>
    <t xml:space="preserve">WAVE2</t>
  </si>
  <si>
    <t xml:space="preserve">Mehmetçik squad</t>
  </si>
  <si>
    <t xml:space="preserve">One-shot AT rocket</t>
  </si>
  <si>
    <t xml:space="preserve">TR-02</t>
  </si>
  <si>
    <t xml:space="preserve">Bordo Bereli</t>
  </si>
  <si>
    <t xml:space="preserve">Stealth in brush + C4</t>
  </si>
  <si>
    <t xml:space="preserve">Detection</t>
  </si>
  <si>
    <t xml:space="preserve">TR-03</t>
  </si>
  <si>
    <t xml:space="preserve">TR-04</t>
  </si>
  <si>
    <t xml:space="preserve">Kirpi MRAP</t>
  </si>
  <si>
    <t xml:space="preserve">TR-05</t>
  </si>
  <si>
    <t xml:space="preserve">ACV-15 / Pars</t>
  </si>
  <si>
    <t xml:space="preserve">25mm + dismount</t>
  </si>
  <si>
    <t xml:space="preserve">TR-06</t>
  </si>
  <si>
    <t xml:space="preserve">M60T Sabra</t>
  </si>
  <si>
    <t xml:space="preserve">Mid tank</t>
  </si>
  <si>
    <t xml:space="preserve">TR-07</t>
  </si>
  <si>
    <t xml:space="preserve">Leopard 2A4</t>
  </si>
  <si>
    <t xml:space="preserve">Peer</t>
  </si>
  <si>
    <t xml:space="preserve">Until Altay</t>
  </si>
  <si>
    <t xml:space="preserve">TR-08</t>
  </si>
  <si>
    <t xml:space="preserve">Altay T1</t>
  </si>
  <si>
    <t xml:space="preserve">Late MBT</t>
  </si>
  <si>
    <t xml:space="preserve">APS flavour</t>
  </si>
  <si>
    <t xml:space="preserve">Air mass</t>
  </si>
  <si>
    <t xml:space="preserve">Few</t>
  </si>
  <si>
    <t xml:space="preserve">TR-09</t>
  </si>
  <si>
    <t xml:space="preserve">T-155 Fırtına</t>
  </si>
  <si>
    <t xml:space="preserve">155</t>
  </si>
  <si>
    <t xml:space="preserve">Shoot-and-scoot; can take Akıncı lase</t>
  </si>
  <si>
    <t xml:space="preserve">TR-10</t>
  </si>
  <si>
    <t xml:space="preserve">Kasırga</t>
  </si>
  <si>
    <t xml:space="preserve">Rockets</t>
  </si>
  <si>
    <t xml:space="preserve">Laser from Akıncı</t>
  </si>
  <si>
    <t xml:space="preserve">Blobs</t>
  </si>
  <si>
    <t xml:space="preserve">TR-11</t>
  </si>
  <si>
    <t xml:space="preserve">Korkut</t>
  </si>
  <si>
    <t xml:space="preserve">Gun AA</t>
  </si>
  <si>
    <t xml:space="preserve">Eats drones and helos</t>
  </si>
  <si>
    <t xml:space="preserve">Tanks / fighters</t>
  </si>
  <si>
    <t xml:space="preserve">Swarm / helo</t>
  </si>
  <si>
    <t xml:space="preserve">Key vs Iran</t>
  </si>
  <si>
    <t xml:space="preserve">TR-12</t>
  </si>
  <si>
    <t xml:space="preserve">T129 ATAK</t>
  </si>
  <si>
    <t xml:space="preserve">AT helo</t>
  </si>
  <si>
    <t xml:space="preserve">UMTAS</t>
  </si>
  <si>
    <t xml:space="preserve">TR-13</t>
  </si>
  <si>
    <t xml:space="preserve">Bayraktar TB2</t>
  </si>
  <si>
    <t xml:space="preserve">UAV</t>
  </si>
  <si>
    <t xml:space="preserve">ISR + light strike</t>
  </si>
  <si>
    <t xml:space="preserve">Expendable scout. Mesh paint.</t>
  </si>
  <si>
    <t xml:space="preserve">Fighters / Korkut / Pantsir</t>
  </si>
  <si>
    <t xml:space="preserve">Vision + light AT</t>
  </si>
  <si>
    <t xml:space="preserve">THE unit</t>
  </si>
  <si>
    <t xml:space="preserve">TR-14</t>
  </si>
  <si>
    <t xml:space="preserve">Akıncı</t>
  </si>
  <si>
    <t xml:space="preserve">Heavy UCAV</t>
  </si>
  <si>
    <t xml:space="preserve">MAM-T / SOM-flavour; lase for Fırtına</t>
  </si>
  <si>
    <t xml:space="preserve">Fighter / long SAM</t>
  </si>
  <si>
    <t xml:space="preserve">Artillery partner</t>
  </si>
  <si>
    <t xml:space="preserve">TR-15</t>
  </si>
  <si>
    <t xml:space="preserve">F-16C Özgür / Blk70</t>
  </si>
  <si>
    <t xml:space="preserve">No F-35</t>
  </si>
  <si>
    <t xml:space="preserve">TR-16</t>
  </si>
  <si>
    <t xml:space="preserve">F-4E Terminator</t>
  </si>
  <si>
    <t xml:space="preserve">Do not dogfight Rafales</t>
  </si>
  <si>
    <t xml:space="preserve">TR-17</t>
  </si>
  <si>
    <t xml:space="preserve">Kızılelma (late)</t>
  </si>
  <si>
    <t xml:space="preserve">Jet UCAV</t>
  </si>
  <si>
    <t xml:space="preserve">Hunts high-value, poor vs air superiority</t>
  </si>
  <si>
    <t xml:space="preserve">Strike</t>
  </si>
  <si>
    <t xml:space="preserve">Late</t>
  </si>
  <si>
    <t xml:space="preserve">TR-18</t>
  </si>
  <si>
    <t xml:space="preserve">MİLGEM corvette</t>
  </si>
  <si>
    <t xml:space="preserve">Atmaca anti-ship</t>
  </si>
  <si>
    <t xml:space="preserve">IL-01</t>
  </si>
  <si>
    <t xml:space="preserve">Israel</t>
  </si>
  <si>
    <t xml:space="preserve">WAVE3</t>
  </si>
  <si>
    <t xml:space="preserve">Tzanhanim / Golani</t>
  </si>
  <si>
    <t xml:space="preserve">Best basic</t>
  </si>
  <si>
    <t xml:space="preserve">Rifle grenade</t>
  </si>
  <si>
    <t xml:space="preserve">IL-02</t>
  </si>
  <si>
    <t xml:space="preserve">Sayeret pair</t>
  </si>
  <si>
    <t xml:space="preserve">Stealth + Spike mini + C4</t>
  </si>
  <si>
    <t xml:space="preserve">Pick</t>
  </si>
  <si>
    <t xml:space="preserve">IL-03</t>
  </si>
  <si>
    <t xml:space="preserve">Spike team</t>
  </si>
  <si>
    <t xml:space="preserve">NLOS AT</t>
  </si>
  <si>
    <t xml:space="preserve">NLOS from behind ridge, long CD</t>
  </si>
  <si>
    <t xml:space="preserve">IL-04</t>
  </si>
  <si>
    <t xml:space="preserve">IL-05</t>
  </si>
  <si>
    <t xml:space="preserve">Eitan 8x8</t>
  </si>
  <si>
    <t xml:space="preserve">Wheeled</t>
  </si>
  <si>
    <t xml:space="preserve">30mm variant</t>
  </si>
  <si>
    <t xml:space="preserve">IL-06</t>
  </si>
  <si>
    <t xml:space="preserve">Namer</t>
  </si>
  <si>
    <t xml:space="preserve">Heaviest taxi</t>
  </si>
  <si>
    <t xml:space="preserve">Trophy. Infantry inside shrug small arms.</t>
  </si>
  <si>
    <t xml:space="preserve">Urban</t>
  </si>
  <si>
    <t xml:space="preserve">Identity APC</t>
  </si>
  <si>
    <t xml:space="preserve">IL-07</t>
  </si>
  <si>
    <t xml:space="preserve">Merkava Mk III</t>
  </si>
  <si>
    <t xml:space="preserve">IL-08</t>
  </si>
  <si>
    <t xml:space="preserve">Merkava Mk IV Windbreaker</t>
  </si>
  <si>
    <t xml:space="preserve">Trophy tank</t>
  </si>
  <si>
    <t xml:space="preserve">Trophy APS + 60mm mortar pop</t>
  </si>
  <si>
    <t xml:space="preserve">Air mass + ATGM mass</t>
  </si>
  <si>
    <t xml:space="preserve">Urban + peer</t>
  </si>
  <si>
    <t xml:space="preserve">IL-09</t>
  </si>
  <si>
    <t xml:space="preserve">M109 Doher</t>
  </si>
  <si>
    <t xml:space="preserve">IL-10</t>
  </si>
  <si>
    <t xml:space="preserve">PULS / Menatetz</t>
  </si>
  <si>
    <t xml:space="preserve">Guided</t>
  </si>
  <si>
    <t xml:space="preserve">Not Grad-inaccurate</t>
  </si>
  <si>
    <t xml:space="preserve">IL-11</t>
  </si>
  <si>
    <t xml:space="preserve">AH-64 Saraf</t>
  </si>
  <si>
    <t xml:space="preserve">IL-12</t>
  </si>
  <si>
    <t xml:space="preserve">Hermes 450/900</t>
  </si>
  <si>
    <t xml:space="preserve">ISR</t>
  </si>
  <si>
    <t xml:space="preserve">Spot + light strike. Not a Shahed.</t>
  </si>
  <si>
    <t xml:space="preserve">Fighter / AA</t>
  </si>
  <si>
    <t xml:space="preserve">Vision</t>
  </si>
  <si>
    <t xml:space="preserve">IL-13</t>
  </si>
  <si>
    <t xml:space="preserve">F-16I Sufa</t>
  </si>
  <si>
    <t xml:space="preserve">SAM / F-35 peer</t>
  </si>
  <si>
    <t xml:space="preserve">IL-14</t>
  </si>
  <si>
    <t xml:space="preserve">F-15I Ra'am</t>
  </si>
  <si>
    <t xml:space="preserve">Heavy strike</t>
  </si>
  <si>
    <t xml:space="preserve">Deep payload</t>
  </si>
  <si>
    <t xml:space="preserve">S-400</t>
  </si>
  <si>
    <t xml:space="preserve">Buildings + air</t>
  </si>
  <si>
    <t xml:space="preserve">IL-15</t>
  </si>
  <si>
    <t xml:space="preserve">F-35I Adir</t>
  </si>
  <si>
    <t xml:space="preserve">Stealth strike</t>
  </si>
  <si>
    <t xml:space="preserve">Short air cloak. Few pads.</t>
  </si>
  <si>
    <t xml:space="preserve">Lucky SAM / numbers</t>
  </si>
  <si>
    <t xml:space="preserve">Opening strike</t>
  </si>
  <si>
    <t xml:space="preserve">Identity jet. Best air quality.</t>
  </si>
  <si>
    <t xml:space="preserve">IL-16</t>
  </si>
  <si>
    <t xml:space="preserve">Sa'ar 6 flavour</t>
  </si>
  <si>
    <t xml:space="preserve">Barak-8 + anti-ship</t>
  </si>
  <si>
    <t xml:space="preserve">Sub / mass</t>
  </si>
  <si>
    <t xml:space="preserve">IN-01</t>
  </si>
  <si>
    <t xml:space="preserve">India</t>
  </si>
  <si>
    <t xml:space="preserve">Rifle section</t>
  </si>
  <si>
    <t xml:space="preserve">LMG burst</t>
  </si>
  <si>
    <t xml:space="preserve">IN-02</t>
  </si>
  <si>
    <t xml:space="preserve">Para SF</t>
  </si>
  <si>
    <t xml:space="preserve">Stealth + C4</t>
  </si>
  <si>
    <t xml:space="preserve">IN-03</t>
  </si>
  <si>
    <t xml:space="preserve">Nag team / NAMICA</t>
  </si>
  <si>
    <t xml:space="preserve">Indigenous AT</t>
  </si>
  <si>
    <t xml:space="preserve">IN-04</t>
  </si>
  <si>
    <t xml:space="preserve">IN-05</t>
  </si>
  <si>
    <t xml:space="preserve">BMP-2 Sarath</t>
  </si>
  <si>
    <t xml:space="preserve">IN-06</t>
  </si>
  <si>
    <t xml:space="preserve">T-72 Ajeya</t>
  </si>
  <si>
    <t xml:space="preserve">Meat</t>
  </si>
  <si>
    <t xml:space="preserve">IN-07</t>
  </si>
  <si>
    <t xml:space="preserve">T-90S Bhishma</t>
  </si>
  <si>
    <t xml:space="preserve">Shtora-ish</t>
  </si>
  <si>
    <t xml:space="preserve">The wall</t>
  </si>
  <si>
    <t xml:space="preserve">IN-08</t>
  </si>
  <si>
    <t xml:space="preserve">Arjun Mk1A</t>
  </si>
  <si>
    <t xml:space="preserve">Pride tank</t>
  </si>
  <si>
    <t xml:space="preserve">Great gun, bad legs</t>
  </si>
  <si>
    <t xml:space="preserve">Air / flank</t>
  </si>
  <si>
    <t xml:space="preserve">Front duel</t>
  </si>
  <si>
    <t xml:space="preserve">Identity pride</t>
  </si>
  <si>
    <t xml:space="preserve">IN-09</t>
  </si>
  <si>
    <t xml:space="preserve">K9 Vajra</t>
  </si>
  <si>
    <t xml:space="preserve">IN-10</t>
  </si>
  <si>
    <t xml:space="preserve">Pinaka</t>
  </si>
  <si>
    <t xml:space="preserve">Guided upgrade</t>
  </si>
  <si>
    <t xml:space="preserve">IN-11</t>
  </si>
  <si>
    <t xml:space="preserve">Prachand LCH</t>
  </si>
  <si>
    <t xml:space="preserve">Cheap helo</t>
  </si>
  <si>
    <t xml:space="preserve">Indigenous</t>
  </si>
  <si>
    <t xml:space="preserve">Light armour</t>
  </si>
  <si>
    <t xml:space="preserve">IN-12</t>
  </si>
  <si>
    <t xml:space="preserve">AH-64E</t>
  </si>
  <si>
    <t xml:space="preserve">Premium helo</t>
  </si>
  <si>
    <t xml:space="preserve">IN-13</t>
  </si>
  <si>
    <t xml:space="preserve">Tejas Mk1A</t>
  </si>
  <si>
    <t xml:space="preserve">Indigenous light</t>
  </si>
  <si>
    <t xml:space="preserve">Fine, not Rafale</t>
  </si>
  <si>
    <t xml:space="preserve">IN-14</t>
  </si>
  <si>
    <t xml:space="preserve">Su-30MKI</t>
  </si>
  <si>
    <t xml:space="preserve">Sky wall</t>
  </si>
  <si>
    <t xml:space="preserve">Long BVR</t>
  </si>
  <si>
    <t xml:space="preserve">F-35 / Rafale numbers</t>
  </si>
  <si>
    <t xml:space="preserve">Numbers jet</t>
  </si>
  <si>
    <t xml:space="preserve">IN-15</t>
  </si>
  <si>
    <t xml:space="preserve">Meteor-flavour long shot</t>
  </si>
  <si>
    <t xml:space="preserve">IN-16</t>
  </si>
  <si>
    <t xml:space="preserve">Jaguar (aging)</t>
  </si>
  <si>
    <t xml:space="preserve">Cheap strike</t>
  </si>
  <si>
    <t xml:space="preserve">Dying breed</t>
  </si>
  <si>
    <t xml:space="preserve">IN-17</t>
  </si>
  <si>
    <t xml:space="preserve">BrahMos TEL</t>
  </si>
  <si>
    <t xml:space="preserve">Missile</t>
  </si>
  <si>
    <t xml:space="preserve">Precision cruise</t>
  </si>
  <si>
    <t xml:space="preserve">LANE mechanic — draw the path</t>
  </si>
  <si>
    <t xml:space="preserve">Intercept umbrellas</t>
  </si>
  <si>
    <t xml:space="preserve">Conyard / ship</t>
  </si>
  <si>
    <t xml:space="preserve">IN-18</t>
  </si>
  <si>
    <t xml:space="preserve">Kalvari flavour sub</t>
  </si>
  <si>
    <t xml:space="preserve">Torpedo</t>
  </si>
  <si>
    <t xml:space="preserve">Fleet</t>
  </si>
  <si>
    <t xml:space="preserve">IN-19</t>
  </si>
  <si>
    <t xml:space="preserve">INS Vikrant flavour</t>
  </si>
  <si>
    <t xml:space="preserve">Carrier</t>
  </si>
  <si>
    <t xml:space="preserve">ONE per match. Jets + SAM. Huge.</t>
  </si>
  <si>
    <t xml:space="preserve">Subs + saturation missiles</t>
  </si>
  <si>
    <t xml:space="preserve">Sea control</t>
  </si>
  <si>
    <t xml:space="preserve">Late naval only</t>
  </si>
  <si>
    <t xml:space="preserve">PK-01</t>
  </si>
  <si>
    <t xml:space="preserve">Pakistan</t>
  </si>
  <si>
    <t xml:space="preserve">Infantry section</t>
  </si>
  <si>
    <t xml:space="preserve">RPG</t>
  </si>
  <si>
    <t xml:space="preserve">PK-02</t>
  </si>
  <si>
    <t xml:space="preserve">SSG pair</t>
  </si>
  <si>
    <t xml:space="preserve">PK-03</t>
  </si>
  <si>
    <t xml:space="preserve">Baktar-Shikan</t>
  </si>
  <si>
    <t xml:space="preserve">PK-04</t>
  </si>
  <si>
    <t xml:space="preserve">PK-05</t>
  </si>
  <si>
    <t xml:space="preserve">Talha / M113</t>
  </si>
  <si>
    <t xml:space="preserve">PK-06</t>
  </si>
  <si>
    <t xml:space="preserve">Al-Zarrar</t>
  </si>
  <si>
    <t xml:space="preserve">Cheap</t>
  </si>
  <si>
    <t xml:space="preserve">PK-07</t>
  </si>
  <si>
    <t xml:space="preserve">T-80UD</t>
  </si>
  <si>
    <t xml:space="preserve">Fast mid</t>
  </si>
  <si>
    <t xml:space="preserve">PK-08</t>
  </si>
  <si>
    <t xml:space="preserve">Al-Khalid</t>
  </si>
  <si>
    <t xml:space="preserve">PK-09</t>
  </si>
  <si>
    <t xml:space="preserve">Haider (VT-4)</t>
  </si>
  <si>
    <t xml:space="preserve">PK-10</t>
  </si>
  <si>
    <t xml:space="preserve">M109 / SH-15</t>
  </si>
  <si>
    <t xml:space="preserve">PK-11</t>
  </si>
  <si>
    <t xml:space="preserve">Fatah / A-100 MLRS</t>
  </si>
  <si>
    <t xml:space="preserve">PK-12</t>
  </si>
  <si>
    <t xml:space="preserve">Z-10ME</t>
  </si>
  <si>
    <t xml:space="preserve">New identity rotor</t>
  </si>
  <si>
    <t xml:space="preserve">PK-13</t>
  </si>
  <si>
    <t xml:space="preserve">JF-17 Block II</t>
  </si>
  <si>
    <t xml:space="preserve">Volume jet</t>
  </si>
  <si>
    <t xml:space="preserve">15% faster rebuild (unique)</t>
  </si>
  <si>
    <t xml:space="preserve">Mixed volume</t>
  </si>
  <si>
    <t xml:space="preserve">THE volume jet</t>
  </si>
  <si>
    <t xml:space="preserve">PK-14</t>
  </si>
  <si>
    <t xml:space="preserve">JF-17 Block III</t>
  </si>
  <si>
    <t xml:space="preserve">BVR light</t>
  </si>
  <si>
    <t xml:space="preserve">PL-15 flavour. Still not Rafale.</t>
  </si>
  <si>
    <t xml:space="preserve">Rafale / F-35 / SAM</t>
  </si>
  <si>
    <t xml:space="preserve">PK-15</t>
  </si>
  <si>
    <t xml:space="preserve">F-16 MLU / Blk52</t>
  </si>
  <si>
    <t xml:space="preserve">Veteran quality</t>
  </si>
  <si>
    <t xml:space="preserve">SAM / F-35</t>
  </si>
  <si>
    <t xml:space="preserve">PK-16</t>
  </si>
  <si>
    <t xml:space="preserve">J-10CE</t>
  </si>
  <si>
    <t xml:space="preserve">Best PAF dogfight</t>
  </si>
  <si>
    <t xml:space="preserve">Limited numbers</t>
  </si>
  <si>
    <t xml:space="preserve">Identity quality jet</t>
  </si>
  <si>
    <t xml:space="preserve">PK-17</t>
  </si>
  <si>
    <t xml:space="preserve">Mirage III/V</t>
  </si>
  <si>
    <t xml:space="preserve">Conventional stand-off only</t>
  </si>
  <si>
    <t xml:space="preserve">NO nukes</t>
  </si>
  <si>
    <t xml:space="preserve">PK-18</t>
  </si>
  <si>
    <t xml:space="preserve">Babur TEL</t>
  </si>
  <si>
    <t xml:space="preserve">Cruise</t>
  </si>
  <si>
    <t xml:space="preserve">WINDOW mechanic — stack 2</t>
  </si>
  <si>
    <t xml:space="preserve">PK-19</t>
  </si>
  <si>
    <t xml:space="preserve">Hangor-class sub</t>
  </si>
  <si>
    <t xml:space="preserve">AIP sub</t>
  </si>
  <si>
    <t xml:space="preserve">Land-attack 1-shot long CD</t>
  </si>
  <si>
    <t xml:space="preserve">Identity navy</t>
  </si>
  <si>
    <t xml:space="preserve">IR-01</t>
  </si>
  <si>
    <t xml:space="preserve">Iran</t>
  </si>
  <si>
    <t xml:space="preserve">Regular infantry</t>
  </si>
  <si>
    <t xml:space="preserve">Cheap line</t>
  </si>
  <si>
    <t xml:space="preserve">RPG + entrench</t>
  </si>
  <si>
    <t xml:space="preserve">Cheapest rifle</t>
  </si>
  <si>
    <t xml:space="preserve">IR-02</t>
  </si>
  <si>
    <t xml:space="preserve">Takavar flavour</t>
  </si>
  <si>
    <t xml:space="preserve">IR-03</t>
  </si>
  <si>
    <t xml:space="preserve">Toophan / Dehlavieh</t>
  </si>
  <si>
    <t xml:space="preserve">AT copies</t>
  </si>
  <si>
    <t xml:space="preserve">TOW / Kornet copies</t>
  </si>
  <si>
    <t xml:space="preserve">IR-04</t>
  </si>
  <si>
    <t xml:space="preserve">IR-05</t>
  </si>
  <si>
    <t xml:space="preserve">Boragh APC</t>
  </si>
  <si>
    <t xml:space="preserve">Cheap taxi</t>
  </si>
  <si>
    <t xml:space="preserve">IR-06</t>
  </si>
  <si>
    <t xml:space="preserve">T-72S</t>
  </si>
  <si>
    <t xml:space="preserve">Main cheap tank</t>
  </si>
  <si>
    <t xml:space="preserve">IR-07</t>
  </si>
  <si>
    <t xml:space="preserve">Karrar</t>
  </si>
  <si>
    <t xml:space="preserve">Best IR tank</t>
  </si>
  <si>
    <t xml:space="preserve">Still not Merkava / Altay / Abrams</t>
  </si>
  <si>
    <t xml:space="preserve">Peer budget</t>
  </si>
  <si>
    <t xml:space="preserve">IR-08</t>
  </si>
  <si>
    <t xml:space="preserve">Raad SPG / M-46</t>
  </si>
  <si>
    <t xml:space="preserve">Arty</t>
  </si>
  <si>
    <t xml:space="preserve">IR-09</t>
  </si>
  <si>
    <t xml:space="preserve">Fajr-5 / Zelzal</t>
  </si>
  <si>
    <t xml:space="preserve">Inaccurate, big</t>
  </si>
  <si>
    <t xml:space="preserve">Air / Dome</t>
  </si>
  <si>
    <t xml:space="preserve">IR-10</t>
  </si>
  <si>
    <t xml:space="preserve">Fateh TEL</t>
  </si>
  <si>
    <t xml:space="preserve">Tactical ballistic</t>
  </si>
  <si>
    <t xml:space="preserve">PACKS in 8s, looks like a truck</t>
  </si>
  <si>
    <t xml:space="preserve">ABM / Dome / S-400</t>
  </si>
  <si>
    <t xml:space="preserve">Identity. Disperse mechanic.</t>
  </si>
  <si>
    <t xml:space="preserve">IR-11</t>
  </si>
  <si>
    <t xml:space="preserve">Khordad-15</t>
  </si>
  <si>
    <t xml:space="preserve">Mid SAM</t>
  </si>
  <si>
    <t xml:space="preserve">Kills drones and the odd jet</t>
  </si>
  <si>
    <t xml:space="preserve">IR-12</t>
  </si>
  <si>
    <t xml:space="preserve">Herz-9 / point AA</t>
  </si>
  <si>
    <t xml:space="preserve">Short AA</t>
  </si>
  <si>
    <t xml:space="preserve">Vs drones</t>
  </si>
  <si>
    <t xml:space="preserve">Swarm defence</t>
  </si>
  <si>
    <t xml:space="preserve">IR-13</t>
  </si>
  <si>
    <t xml:space="preserve">AH-1 leftover / Mi-28 few</t>
  </si>
  <si>
    <t xml:space="preserve">Thin helo</t>
  </si>
  <si>
    <t xml:space="preserve">Thin on purpose</t>
  </si>
  <si>
    <t xml:space="preserve">Soft armour</t>
  </si>
  <si>
    <t xml:space="preserve">IR-14</t>
  </si>
  <si>
    <t xml:space="preserve">Mohajer-6 / Shahed-129</t>
  </si>
  <si>
    <t xml:space="preserve">Reusable ISR/strike</t>
  </si>
  <si>
    <t xml:space="preserve">Reusable, not the swarm</t>
  </si>
  <si>
    <t xml:space="preserve">IR-15</t>
  </si>
  <si>
    <t xml:space="preserve">Shahed-136</t>
  </si>
  <si>
    <t xml:space="preserve">One-way</t>
  </si>
  <si>
    <t xml:space="preserve">Built at Workshop. Does not return. HP from SwarmHP knob.</t>
  </si>
  <si>
    <t xml:space="preserve">Dome / Korkut / Pantsir / fighters</t>
  </si>
  <si>
    <t xml:space="preserve">Saturation</t>
  </si>
  <si>
    <t xml:space="preserve">THE unit. Cost is the point.</t>
  </si>
  <si>
    <t xml:space="preserve">IR-16</t>
  </si>
  <si>
    <t xml:space="preserve">Karrar UCAV</t>
  </si>
  <si>
    <t xml:space="preserve">Jet one-way</t>
  </si>
  <si>
    <t xml:space="preserve">Faster, fewer</t>
  </si>
  <si>
    <t xml:space="preserve">IR-17</t>
  </si>
  <si>
    <t xml:space="preserve">Kowsar / Saeqeh / F-14 leftover</t>
  </si>
  <si>
    <t xml:space="preserve">Poor A2A</t>
  </si>
  <si>
    <t xml:space="preserve">If this beats a Rafale, hotfix it</t>
  </si>
  <si>
    <t xml:space="preserve">Any modern fighter</t>
  </si>
  <si>
    <t xml:space="preserve">Helo if lucky</t>
  </si>
  <si>
    <t xml:space="preserve">Intentionally worst air</t>
  </si>
  <si>
    <t xml:space="preserve">IR-18</t>
  </si>
  <si>
    <t xml:space="preserve">MiG-29 / Su-24 leftover</t>
  </si>
  <si>
    <t xml:space="preserve">Thin strike</t>
  </si>
  <si>
    <t xml:space="preserve">Expensive to replace</t>
  </si>
  <si>
    <t xml:space="preserve">IR-19</t>
  </si>
  <si>
    <t xml:space="preserve">Ghadir mini-sub</t>
  </si>
  <si>
    <t xml:space="preserve">Denial</t>
  </si>
  <si>
    <t xml:space="preserve">Not a Hangor. Ambush.</t>
  </si>
  <si>
    <t xml:space="preserve">Coast</t>
  </si>
  <si>
    <t xml:space="preserve">STRUCTURES  —  shared skeleton + faction-flavoured defences / superweapons</t>
  </si>
  <si>
    <t xml:space="preserve">Type</t>
  </si>
  <si>
    <t xml:space="preserve">Power_use</t>
  </si>
  <si>
    <t xml:space="preserve">Power_out</t>
  </si>
  <si>
    <t xml:space="preserve">Unlocks</t>
  </si>
  <si>
    <t xml:space="preserve">SH-01</t>
  </si>
  <si>
    <t xml:space="preserve">All</t>
  </si>
  <si>
    <t xml:space="preserve">MCV / Construction Yard</t>
  </si>
  <si>
    <t xml:space="preserve">Core</t>
  </si>
  <si>
    <t xml:space="preserve">Everything</t>
  </si>
  <si>
    <t xml:space="preserve">Unpacks from MCV. Pack once.</t>
  </si>
  <si>
    <t xml:space="preserve">SH-02</t>
  </si>
  <si>
    <t xml:space="preserve">Power Plant</t>
  </si>
  <si>
    <t xml:space="preserve">Eco</t>
  </si>
  <si>
    <t xml:space="preserve">Power</t>
  </si>
  <si>
    <t xml:space="preserve">Output from PowerPlantOutput knob via formula</t>
  </si>
  <si>
    <t xml:space="preserve">SH-03</t>
  </si>
  <si>
    <t xml:space="preserve">Oil Depot</t>
  </si>
  <si>
    <t xml:space="preserve">Harvester drop-off</t>
  </si>
  <si>
    <t xml:space="preserve">Needs a field</t>
  </si>
  <si>
    <t xml:space="preserve">SH-04</t>
  </si>
  <si>
    <t xml:space="preserve">Barracks</t>
  </si>
  <si>
    <t xml:space="preserve">Prod</t>
  </si>
  <si>
    <t xml:space="preserve">Infantry / SF / engineer</t>
  </si>
  <si>
    <t xml:space="preserve">SH-05</t>
  </si>
  <si>
    <t xml:space="preserve">War Factory</t>
  </si>
  <si>
    <t xml:space="preserve">Vehicles</t>
  </si>
  <si>
    <t xml:space="preserve">SH-06</t>
  </si>
  <si>
    <t xml:space="preserve">Airfield / Helipad</t>
  </si>
  <si>
    <t xml:space="preserve">Air / helo / UAV</t>
  </si>
  <si>
    <t xml:space="preserve">Iran Workshop is separate</t>
  </si>
  <si>
    <t xml:space="preserve">SH-07</t>
  </si>
  <si>
    <t xml:space="preserve">Naval Yard</t>
  </si>
  <si>
    <t xml:space="preserve">Ships / subs</t>
  </si>
  <si>
    <t xml:space="preserve">Water maps only</t>
  </si>
  <si>
    <t xml:space="preserve">SH-08</t>
  </si>
  <si>
    <t xml:space="preserve">Command / Tech</t>
  </si>
  <si>
    <t xml:space="preserve">Tech</t>
  </si>
  <si>
    <t xml:space="preserve">Tier 2–3 units</t>
  </si>
  <si>
    <t xml:space="preserve">SH-09</t>
  </si>
  <si>
    <t xml:space="preserve">HMG nest / bunker</t>
  </si>
  <si>
    <t xml:space="preserve">Def</t>
  </si>
  <si>
    <t xml:space="preserve">SH-10</t>
  </si>
  <si>
    <t xml:space="preserve">ATGM tower</t>
  </si>
  <si>
    <t xml:space="preserve">Anti-tank</t>
  </si>
  <si>
    <t xml:space="preserve">SH-11</t>
  </si>
  <si>
    <t xml:space="preserve">AA gun</t>
  </si>
  <si>
    <t xml:space="preserve">SH-12</t>
  </si>
  <si>
    <t xml:space="preserve">Sa'ka Tent</t>
  </si>
  <si>
    <t xml:space="preserve">Unique</t>
  </si>
  <si>
    <t xml:space="preserve">Hero + insertion ability</t>
  </si>
  <si>
    <t xml:space="preserve">90s insertion CD</t>
  </si>
  <si>
    <t xml:space="preserve">SH-13</t>
  </si>
  <si>
    <t xml:space="preserve">October Battery</t>
  </si>
  <si>
    <t xml:space="preserve">SW</t>
  </si>
  <si>
    <t xml:space="preserve">October Strike</t>
  </si>
  <si>
    <t xml:space="preserve">Interceptable by high SAM</t>
  </si>
  <si>
    <t xml:space="preserve">SH-14</t>
  </si>
  <si>
    <t xml:space="preserve">Patriot battery</t>
  </si>
  <si>
    <t xml:space="preserve">Mid-high AA</t>
  </si>
  <si>
    <t xml:space="preserve">InterceptPatriot knob</t>
  </si>
  <si>
    <t xml:space="preserve">SH-15</t>
  </si>
  <si>
    <t xml:space="preserve">Green Crescent</t>
  </si>
  <si>
    <t xml:space="preserve">Stand-off strike</t>
  </si>
  <si>
    <t xml:space="preserve">SH-16</t>
  </si>
  <si>
    <t xml:space="preserve">THAAD / Patriot node</t>
  </si>
  <si>
    <t xml:space="preserve">ABM flavour</t>
  </si>
  <si>
    <t xml:space="preserve">Can eat inbound SW late</t>
  </si>
  <si>
    <t xml:space="preserve">SH-17</t>
  </si>
  <si>
    <t xml:space="preserve">Desert Falcon</t>
  </si>
  <si>
    <t xml:space="preserve">HIMARS + F-16 package</t>
  </si>
  <si>
    <t xml:space="preserve">Small radius, building-delete</t>
  </si>
  <si>
    <t xml:space="preserve">SH-18</t>
  </si>
  <si>
    <t xml:space="preserve">S-300 / S-400 battery</t>
  </si>
  <si>
    <t xml:space="preserve">Strategic SAM</t>
  </si>
  <si>
    <t xml:space="preserve">InterceptS400 knob. Identity.</t>
  </si>
  <si>
    <t xml:space="preserve">SH-19</t>
  </si>
  <si>
    <t xml:space="preserve">Hellwind</t>
  </si>
  <si>
    <t xml:space="preserve">TOS + Smerch saturation</t>
  </si>
  <si>
    <t xml:space="preserve">Infantry delete, tanks hurt</t>
  </si>
  <si>
    <t xml:space="preserve">SH-20</t>
  </si>
  <si>
    <t xml:space="preserve">Hisar site</t>
  </si>
  <si>
    <t xml:space="preserve">SH-21</t>
  </si>
  <si>
    <t xml:space="preserve">Siper battery</t>
  </si>
  <si>
    <t xml:space="preserve">InterceptSiper knob</t>
  </si>
  <si>
    <t xml:space="preserve">SH-22</t>
  </si>
  <si>
    <t xml:space="preserve">Tayfun Rain</t>
  </si>
  <si>
    <t xml:space="preserve">SRBM + Kızılelma late</t>
  </si>
  <si>
    <t xml:space="preserve">SH-23</t>
  </si>
  <si>
    <t xml:space="preserve">Iron Dome battery</t>
  </si>
  <si>
    <t xml:space="preserve">Rocket / cruise eat</t>
  </si>
  <si>
    <t xml:space="preserve">InterceptDome knob + Tamir bill</t>
  </si>
  <si>
    <t xml:space="preserve">SH-24</t>
  </si>
  <si>
    <t xml:space="preserve">David's Sling</t>
  </si>
  <si>
    <t xml:space="preserve">Mid-high / ABM flavour</t>
  </si>
  <si>
    <t xml:space="preserve">SH-25</t>
  </si>
  <si>
    <t xml:space="preserve">Arrow node</t>
  </si>
  <si>
    <t xml:space="preserve">SW hunter</t>
  </si>
  <si>
    <t xml:space="preserve">SH-26</t>
  </si>
  <si>
    <t xml:space="preserve">Adir Package</t>
  </si>
  <si>
    <t xml:space="preserve">F-35I + F-15I bunker delete</t>
  </si>
  <si>
    <t xml:space="preserve">Small radius</t>
  </si>
  <si>
    <t xml:space="preserve">SH-27</t>
  </si>
  <si>
    <t xml:space="preserve">Akash / QRSAM site</t>
  </si>
  <si>
    <t xml:space="preserve">SH-28</t>
  </si>
  <si>
    <t xml:space="preserve">S-400 battery</t>
  </si>
  <si>
    <t xml:space="preserve">InterceptS400 knob</t>
  </si>
  <si>
    <t xml:space="preserve">SH-29</t>
  </si>
  <si>
    <t xml:space="preserve">Cruise Battery</t>
  </si>
  <si>
    <t xml:space="preserve">BrahMos Lane</t>
  </si>
  <si>
    <t xml:space="preserve">Skill-shot corridor</t>
  </si>
  <si>
    <t xml:space="preserve">SH-30</t>
  </si>
  <si>
    <t xml:space="preserve">Trishul</t>
  </si>
  <si>
    <t xml:space="preserve">BrahMos + Su-30 package</t>
  </si>
  <si>
    <t xml:space="preserve">SH-31</t>
  </si>
  <si>
    <t xml:space="preserve">HQ-9 / HQ-16 site</t>
  </si>
  <si>
    <t xml:space="preserve">Layered AA</t>
  </si>
  <si>
    <t xml:space="preserve">SH-32</t>
  </si>
  <si>
    <t xml:space="preserve">Ghaznavi Rain</t>
  </si>
  <si>
    <t xml:space="preserve">SRBM + Babur mix</t>
  </si>
  <si>
    <t xml:space="preserve">SH-33</t>
  </si>
  <si>
    <t xml:space="preserve">Drone Workshop</t>
  </si>
  <si>
    <t xml:space="preserve">Shahed-136 production</t>
  </si>
  <si>
    <t xml:space="preserve">Killing this matters more than one drone</t>
  </si>
  <si>
    <t xml:space="preserve">SH-34</t>
  </si>
  <si>
    <t xml:space="preserve">Bavar-373 battery</t>
  </si>
  <si>
    <t xml:space="preserve">InterceptBavar knob</t>
  </si>
  <si>
    <t xml:space="preserve">SH-35</t>
  </si>
  <si>
    <t xml:space="preserve">Raad-e Fath</t>
  </si>
  <si>
    <t xml:space="preserve">Fateh + Shahed saturation</t>
  </si>
  <si>
    <t xml:space="preserve">Cheapest SW, most interceptable</t>
  </si>
  <si>
    <t xml:space="preserve">CLASS vs CLASS  —  expected damage multiplier (1.00 = neutral). Yellow = edit. Used as a design reminder, not auto-applied to DPS.</t>
  </si>
  <si>
    <t xml:space="preserve">Attacker \ Target</t>
  </si>
  <si>
    <t xml:space="preserve">AT inf</t>
  </si>
  <si>
    <t xml:space="preserve">AA inf</t>
  </si>
  <si>
    <t xml:space="preserve">SPG/MLRS</t>
  </si>
  <si>
    <t xml:space="preserve">Read: attacker on the LEFT, target on the TOP. 1.80 AT-vs-MBT is the ATGMVsArmor idea. If you change ATGMVsArmor on Assumptions, also retune C5 (AT vs MBT) so the two documents do not argue.</t>
  </si>
  <si>
    <t xml:space="preserve">Linked knobs (reference only)</t>
  </si>
  <si>
    <t xml:space="preserve">ATGM vs armour knob</t>
  </si>
  <si>
    <t xml:space="preserve">Air vs armour knob</t>
  </si>
  <si>
    <t xml:space="preserve">Arty vs building knob</t>
  </si>
  <si>
    <t xml:space="preserve">FACTION ROLL-UP  —  all green numbers are formulas off 02_UNITS. If a column looks wrong, the roster is wrong.</t>
  </si>
  <si>
    <t xml:space="preserve">Wave in</t>
  </si>
  <si>
    <t xml:space="preserve">Unit count</t>
  </si>
  <si>
    <t xml:space="preserve">Avg Cost</t>
  </si>
  <si>
    <t xml:space="preserve">Avg HP</t>
  </si>
  <si>
    <t xml:space="preserve">Avg DPS_Armor</t>
  </si>
  <si>
    <t xml:space="preserve">Avg DPS_Air</t>
  </si>
  <si>
    <t xml:space="preserve">Avg CombatIndex</t>
  </si>
  <si>
    <t xml:space="preserve">Identity read</t>
  </si>
  <si>
    <t xml:space="preserve">MBT cost (min)</t>
  </si>
  <si>
    <t xml:space="preserve">Fighter cost (min)</t>
  </si>
  <si>
    <t xml:space="preserve">Depth / mix</t>
  </si>
  <si>
    <t xml:space="preserve">Altitude / quality</t>
  </si>
  <si>
    <t xml:space="preserve">Scalpel / precision</t>
  </si>
  <si>
    <t xml:space="preserve">Weight / bubble</t>
  </si>
  <si>
    <t xml:space="preserve">Drone mesh</t>
  </si>
  <si>
    <t xml:space="preserve">Shield + knife</t>
  </si>
  <si>
    <t xml:space="preserve">Scale + BrahMos</t>
  </si>
  <si>
    <t xml:space="preserve">First strike</t>
  </si>
  <si>
    <t xml:space="preserve">Swarm + rain</t>
  </si>
  <si>
    <t xml:space="preserve">SUPERWEAPON INTERCEPT CHEAT-SHEET (from Assumptions knobs)</t>
  </si>
  <si>
    <t xml:space="preserve">Umbrella</t>
  </si>
  <si>
    <t xml:space="preserve">Knob</t>
  </si>
  <si>
    <t xml:space="preserve">Chance</t>
  </si>
  <si>
    <t xml:space="preserve">Who has it</t>
  </si>
  <si>
    <t xml:space="preserve">Beats rain from</t>
  </si>
  <si>
    <t xml:space="preserve">Loses rain to</t>
  </si>
  <si>
    <t xml:space="preserve">Iron Dome / Arrow layer</t>
  </si>
  <si>
    <t xml:space="preserve">Iran swarm, Pakistan Babur, Grad-like</t>
  </si>
  <si>
    <t xml:space="preserve">BrahMos skill-shot if corridor unseen; F-35 package</t>
  </si>
  <si>
    <t xml:space="preserve">Algeria, India</t>
  </si>
  <si>
    <t xml:space="preserve">Most cruise / lofted ballistic / jets</t>
  </si>
  <si>
    <t xml:space="preserve">F-35 cloak strike; saturation if batteries dead</t>
  </si>
  <si>
    <t xml:space="preserve">Patriot</t>
  </si>
  <si>
    <t xml:space="preserve">Saudi (+ UAE node)</t>
  </si>
  <si>
    <t xml:space="preserve">Cruise / jet</t>
  </si>
  <si>
    <t xml:space="preserve">Saturation + low drones</t>
  </si>
  <si>
    <t xml:space="preserve">Siper</t>
  </si>
  <si>
    <t xml:space="preserve">Swarm + lofted mass</t>
  </si>
  <si>
    <t xml:space="preserve">Bavar-373</t>
  </si>
  <si>
    <t xml:space="preserve">Casual air</t>
  </si>
  <si>
    <t xml:space="preserve">F-35 / F-15SA / Rafale SEAD</t>
  </si>
  <si>
    <t xml:space="preserve">SHIP WAVES  —  art and Uncut VO trail the greybox. Slice before spectacle.</t>
  </si>
  <si>
    <t xml:space="preserve">Factions</t>
  </si>
  <si>
    <t xml:space="preserve">Must-fun test</t>
  </si>
  <si>
    <t xml:space="preserve">Do not start</t>
  </si>
  <si>
    <t xml:space="preserve">Exit criteria</t>
  </si>
  <si>
    <t xml:space="preserve">GDD ref</t>
  </si>
  <si>
    <t xml:space="preserve">WAVE0 Slice</t>
  </si>
  <si>
    <t xml:space="preserve">Egypt vs Algeria</t>
  </si>
  <si>
    <t xml:space="preserve">15-min 1v1. Kornet vs T-90. TOS vs garrison. Su-30 vs F-16. One SAM each.</t>
  </si>
  <si>
    <t xml:space="preserve">F-35 model, campaign cinematics, Uncut Hebrew</t>
  </si>
  <si>
    <t xml:space="preserve">A new player understands counters in one match. Nobody says 'I don't know why I died'.</t>
  </si>
  <si>
    <t xml:space="preserve">GDD v0.1 §12</t>
  </si>
  <si>
    <t xml:space="preserve">WAVE1 Arab core</t>
  </si>
  <si>
    <t xml:space="preserve">+ Saudi + UAE</t>
  </si>
  <si>
    <t xml:space="preserve">F-15SA vs Su-30. HIMARS vs Conyard. Bradley vs BMP. Patriot vs October Strike.</t>
  </si>
  <si>
    <t xml:space="preserve">India/Pakistan maps, carrier unit</t>
  </si>
  <si>
    <t xml:space="preserve">Four-faction custom lobby is stable. 2v2 does not desync.</t>
  </si>
  <si>
    <t xml:space="preserve">GDD v0.1 §4 + §12</t>
  </si>
  <si>
    <t xml:space="preserve">WAVE2 Near</t>
  </si>
  <si>
    <t xml:space="preserve">+ Turkey + Iran</t>
  </si>
  <si>
    <t xml:space="preserve">TB2 mesh vs Shahed swarm. Korkut vs Workshop. Fateh pack-up vs Siper. Altay vs Karrar.</t>
  </si>
  <si>
    <t xml:space="preserve">F-35I cloak polish, Vikrant</t>
  </si>
  <si>
    <t xml:space="preserve">Drone weather is readable. Swarm is annoying, not unplayable.</t>
  </si>
  <si>
    <t xml:space="preserve">GDD v0.2 §1 + §5</t>
  </si>
  <si>
    <t xml:space="preserve">WAVE3 Wider</t>
  </si>
  <si>
    <t xml:space="preserve">+ Israel + India + Pakistan</t>
  </si>
  <si>
    <t xml:space="preserve">Iron Dome bill vs Fateh rain. BrahMos lane vs Babur window. Trophy vs Kornet. F-35I vs S-400.</t>
  </si>
  <si>
    <t xml:space="preserve">New factions beyond these nine</t>
  </si>
  <si>
    <t xml:space="preserve">Ladder is not 70/30 on any flag matchup after a week.</t>
  </si>
  <si>
    <t xml:space="preserve">GDD v0.2 §2–4</t>
  </si>
  <si>
    <t xml:space="preserve">Greybox all nine the day WAVE0 is fun. A grey JF-17 is more useful than a beautiful unused Rafale.</t>
  </si>
  <si>
    <t xml:space="preserve">Author</t>
  </si>
  <si>
    <t xml:space="preserve">ID / Knob</t>
  </si>
  <si>
    <t xml:space="preserve">Old</t>
  </si>
  <si>
    <t xml:space="preserve">New</t>
  </si>
  <si>
    <t xml:space="preserve">Why (one line)</t>
  </si>
  <si>
    <t xml:space="preserve">Playtest note</t>
  </si>
  <si>
    <t xml:space="preserve">Design</t>
  </si>
  <si>
    <t xml:space="preserve">FILE CREATED</t>
  </si>
  <si>
    <t xml:space="preserve">v0.2.0</t>
  </si>
  <si>
    <t xml:space="preserve">First pass from GDD v0.1 + v0.2 addendum</t>
  </si>
  <si>
    <t xml:space="preserve">Not playtested. WAVE0 numbers are the only ones allowed to be taken seriously.</t>
  </si>
  <si>
    <t xml:space="preserve">Rule: if you change a WAVE0 cost by more than 10%, write it here the same hour. Future-you is the player who will be angry.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</si>
</sst>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#,##0"/>
    <numFmt numFmtId="167" formatCode="0.0"/>
    <numFmt numFmtId="168" formatCode="#,##0.0"/>
    <numFmt numFmtId="169" formatCode="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3A2A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b val="true"/>
      <sz val="11"/>
      <color rgb="FF1A3A2A"/>
      <name val="Calibri"/>
      <family val="0"/>
      <charset val="1"/>
    </font>
    <font>
      <sz val="11"/>
      <color rgb="FF222222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222222"/>
      <name val="Calibri"/>
      <family val="0"/>
      <charset val="1"/>
    </font>
    <font>
      <b val="true"/>
      <sz val="10"/>
      <color rgb="FF2E7D32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33691E"/>
      <name val="Calibri"/>
      <family val="0"/>
      <charset val="1"/>
    </font>
    <font>
      <b val="true"/>
      <sz val="10"/>
      <color rgb="FF1B5E20"/>
      <name val="Calibri"/>
      <family val="0"/>
      <charset val="1"/>
    </font>
    <font>
      <b val="true"/>
      <sz val="10"/>
      <color rgb="FF00695C"/>
      <name val="Calibri"/>
      <family val="0"/>
      <charset val="1"/>
    </font>
    <font>
      <b val="true"/>
      <sz val="10"/>
      <color rgb="FFB71C1C"/>
      <name val="Calibri"/>
      <family val="0"/>
      <charset val="1"/>
    </font>
    <font>
      <b val="true"/>
      <sz val="10"/>
      <color rgb="FF1565C0"/>
      <name val="Calibri"/>
      <family val="0"/>
      <charset val="1"/>
    </font>
    <font>
      <b val="true"/>
      <sz val="10"/>
      <color rgb="FFE65100"/>
      <name val="Calibri"/>
      <family val="0"/>
      <charset val="1"/>
    </font>
    <font>
      <b val="true"/>
      <sz val="10"/>
      <color rgb="FF006400"/>
      <name val="Calibri"/>
      <family val="0"/>
      <charset val="1"/>
    </font>
    <font>
      <b val="true"/>
      <sz val="10"/>
      <color rgb="FF4A148C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10"/>
      <color rgb="FF1A3A2A"/>
      <name val="Calibri"/>
      <family val="0"/>
      <charset val="1"/>
    </font>
    <font>
      <b val="true"/>
      <sz val="11"/>
      <color rgb="FF2E7D32"/>
      <name val="Calibri"/>
      <family val="0"/>
      <charset val="1"/>
    </font>
    <font>
      <b val="true"/>
      <sz val="11"/>
      <color rgb="FF1B5E20"/>
      <name val="Calibri"/>
      <family val="0"/>
      <charset val="1"/>
    </font>
    <font>
      <b val="true"/>
      <sz val="11"/>
      <color rgb="FF00695C"/>
      <name val="Calibri"/>
      <family val="0"/>
      <charset val="1"/>
    </font>
    <font>
      <b val="true"/>
      <sz val="11"/>
      <color rgb="FF33691E"/>
      <name val="Calibri"/>
      <family val="0"/>
      <charset val="1"/>
    </font>
    <font>
      <b val="true"/>
      <sz val="11"/>
      <color rgb="FFB71C1C"/>
      <name val="Calibri"/>
      <family val="0"/>
      <charset val="1"/>
    </font>
    <font>
      <b val="true"/>
      <sz val="11"/>
      <color rgb="FF1565C0"/>
      <name val="Calibri"/>
      <family val="0"/>
      <charset val="1"/>
    </font>
    <font>
      <b val="true"/>
      <sz val="11"/>
      <color rgb="FFE65100"/>
      <name val="Calibri"/>
      <family val="0"/>
      <charset val="1"/>
    </font>
    <font>
      <b val="true"/>
      <sz val="11"/>
      <color rgb="FF006400"/>
      <name val="Calibri"/>
      <family val="0"/>
      <charset val="1"/>
    </font>
    <font>
      <b val="true"/>
      <sz val="11"/>
      <color rgb="FF4A148C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3B0"/>
        <bgColor rgb="FFF4F1EA"/>
      </patternFill>
    </fill>
    <fill>
      <patternFill patternType="solid">
        <fgColor rgb="FF1A3A2A"/>
        <bgColor rgb="FF222222"/>
      </patternFill>
    </fill>
    <fill>
      <patternFill patternType="solid">
        <fgColor rgb="FF2C5F4A"/>
        <bgColor rgb="FF1B5E20"/>
      </patternFill>
    </fill>
    <fill>
      <patternFill patternType="solid">
        <fgColor rgb="FFFFFFFF"/>
        <bgColor rgb="FFF9F9F9"/>
      </patternFill>
    </fill>
    <fill>
      <patternFill patternType="solid">
        <fgColor rgb="FFF4F1EA"/>
        <bgColor rgb="FFF9F9F9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0">
    <dxf>
      <fill>
        <patternFill patternType="solid">
          <fgColor rgb="FF2C5F4A"/>
          <bgColor rgb="FF000000"/>
        </patternFill>
      </fill>
    </dxf>
    <dxf>
      <fill>
        <patternFill patternType="solid">
          <fgColor rgb="FFF4F1E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3B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fgColor rgb="FF006400"/>
          <bgColor rgb="FF000000"/>
        </patternFill>
      </fill>
    </dxf>
    <dxf>
      <fill>
        <patternFill patternType="solid">
          <fgColor rgb="FF00695C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33691E"/>
          <bgColor rgb="FF000000"/>
        </patternFill>
      </fill>
    </dxf>
    <dxf>
      <fill>
        <patternFill patternType="solid">
          <fgColor rgb="FF4A148C"/>
          <bgColor rgb="FF000000"/>
        </patternFill>
      </fill>
    </dxf>
    <dxf>
      <fill>
        <patternFill patternType="solid">
          <fgColor rgb="FFB71C1C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FFE082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26527"/>
          <bgColor rgb="FF000000"/>
        </patternFill>
      </fill>
    </dxf>
    <dxf>
      <fill>
        <patternFill patternType="solid">
          <fgColor rgb="FF26682B"/>
          <bgColor rgb="FF000000"/>
        </patternFill>
      </fill>
    </dxf>
    <dxf>
      <fill>
        <patternFill patternType="solid">
          <fgColor rgb="FF2A6B2F"/>
          <bgColor rgb="FF000000"/>
        </patternFill>
      </fill>
    </dxf>
    <dxf>
      <fill>
        <patternFill patternType="solid">
          <fgColor rgb="FF2B6C30"/>
          <bgColor rgb="FF000000"/>
        </patternFill>
      </fill>
    </dxf>
    <dxf>
      <fill>
        <patternFill patternType="solid">
          <fgColor rgb="FF2F6F33"/>
          <bgColor rgb="FF000000"/>
        </patternFill>
      </fill>
    </dxf>
    <dxf>
      <fill>
        <patternFill patternType="solid">
          <fgColor rgb="FF307035"/>
          <bgColor rgb="FF000000"/>
        </patternFill>
      </fill>
    </dxf>
    <dxf>
      <fill>
        <patternFill patternType="solid">
          <fgColor rgb="FF39783D"/>
          <bgColor rgb="FF000000"/>
        </patternFill>
      </fill>
    </dxf>
    <dxf>
      <fill>
        <patternFill patternType="solid">
          <fgColor rgb="FF39783E"/>
          <bgColor rgb="FF000000"/>
        </patternFill>
      </fill>
    </dxf>
    <dxf>
      <fill>
        <patternFill patternType="solid">
          <fgColor rgb="FF3A793E"/>
          <bgColor rgb="FF000000"/>
        </patternFill>
      </fill>
    </dxf>
    <dxf>
      <fill>
        <patternFill patternType="solid">
          <fgColor rgb="FF3E7D43"/>
          <bgColor rgb="FF000000"/>
        </patternFill>
      </fill>
    </dxf>
    <dxf>
      <fill>
        <patternFill patternType="solid">
          <fgColor rgb="FF438147"/>
          <bgColor rgb="FF000000"/>
        </patternFill>
      </fill>
    </dxf>
    <dxf>
      <fill>
        <patternFill patternType="solid">
          <fgColor rgb="FF448248"/>
          <bgColor rgb="FF000000"/>
        </patternFill>
      </fill>
    </dxf>
    <dxf>
      <fill>
        <patternFill patternType="solid">
          <fgColor rgb="FF4C8950"/>
          <bgColor rgb="FF000000"/>
        </patternFill>
      </fill>
    </dxf>
    <dxf>
      <fill>
        <patternFill patternType="solid">
          <fgColor rgb="FF4D8950"/>
          <bgColor rgb="FF000000"/>
        </patternFill>
      </fill>
    </dxf>
    <dxf>
      <fill>
        <patternFill patternType="solid">
          <fgColor rgb="FF4D8A51"/>
          <bgColor rgb="FF000000"/>
        </patternFill>
      </fill>
    </dxf>
    <dxf>
      <fill>
        <patternFill patternType="solid">
          <fgColor rgb="FF538E56"/>
          <bgColor rgb="FF000000"/>
        </patternFill>
      </fill>
    </dxf>
    <dxf>
      <fill>
        <patternFill patternType="solid">
          <fgColor rgb="FF549058"/>
          <bgColor rgb="FF000000"/>
        </patternFill>
      </fill>
    </dxf>
    <dxf>
      <fill>
        <patternFill patternType="solid">
          <fgColor rgb="FF57925B"/>
          <bgColor rgb="FF000000"/>
        </patternFill>
      </fill>
    </dxf>
    <dxf>
      <fill>
        <patternFill patternType="solid">
          <fgColor rgb="FF59945D"/>
          <bgColor rgb="FF000000"/>
        </patternFill>
      </fill>
    </dxf>
    <dxf>
      <fill>
        <patternFill patternType="solid">
          <fgColor rgb="FF5A955E"/>
          <bgColor rgb="FF000000"/>
        </patternFill>
      </fill>
    </dxf>
    <dxf>
      <fill>
        <patternFill patternType="solid">
          <fgColor rgb="FF5E9862"/>
          <bgColor rgb="FF000000"/>
        </patternFill>
      </fill>
    </dxf>
    <dxf>
      <fill>
        <patternFill patternType="solid">
          <fgColor rgb="FF5F9962"/>
          <bgColor rgb="FF000000"/>
        </patternFill>
      </fill>
    </dxf>
    <dxf>
      <fill>
        <patternFill patternType="solid">
          <fgColor rgb="FF68A16B"/>
          <bgColor rgb="FF000000"/>
        </patternFill>
      </fill>
    </dxf>
    <dxf>
      <fill>
        <patternFill patternType="solid">
          <fgColor rgb="FF69A26C"/>
          <bgColor rgb="FF000000"/>
        </patternFill>
      </fill>
    </dxf>
    <dxf>
      <fill>
        <patternFill patternType="solid">
          <fgColor rgb="FF6AA26D"/>
          <bgColor rgb="FF000000"/>
        </patternFill>
      </fill>
    </dxf>
    <dxf>
      <fill>
        <patternFill patternType="solid">
          <fgColor rgb="FF6AA36E"/>
          <bgColor rgb="FF000000"/>
        </patternFill>
      </fill>
    </dxf>
    <dxf>
      <fill>
        <patternFill patternType="solid">
          <fgColor rgb="FF6BA46E"/>
          <bgColor rgb="FF000000"/>
        </patternFill>
      </fill>
    </dxf>
    <dxf>
      <fill>
        <patternFill patternType="solid">
          <fgColor rgb="FF6CA56F"/>
          <bgColor rgb="FF000000"/>
        </patternFill>
      </fill>
    </dxf>
    <dxf>
      <fill>
        <patternFill patternType="solid">
          <fgColor rgb="FF6DA570"/>
          <bgColor rgb="FF000000"/>
        </patternFill>
      </fill>
    </dxf>
    <dxf>
      <fill>
        <patternFill patternType="solid">
          <fgColor rgb="FF6DA670"/>
          <bgColor rgb="FF000000"/>
        </patternFill>
      </fill>
    </dxf>
    <dxf>
      <fill>
        <patternFill patternType="solid">
          <fgColor rgb="FF6EA671"/>
          <bgColor rgb="FF000000"/>
        </patternFill>
      </fill>
    </dxf>
    <dxf>
      <fill>
        <patternFill patternType="solid">
          <fgColor rgb="FF6EA772"/>
          <bgColor rgb="FF000000"/>
        </patternFill>
      </fill>
    </dxf>
    <dxf>
      <fill>
        <patternFill patternType="solid">
          <fgColor rgb="FF6FA772"/>
          <bgColor rgb="FF000000"/>
        </patternFill>
      </fill>
    </dxf>
    <dxf>
      <fill>
        <patternFill patternType="solid">
          <fgColor rgb="FF70A873"/>
          <bgColor rgb="FF000000"/>
        </patternFill>
      </fill>
    </dxf>
    <dxf>
      <fill>
        <patternFill patternType="solid">
          <fgColor rgb="FF71A974"/>
          <bgColor rgb="FF000000"/>
        </patternFill>
      </fill>
    </dxf>
    <dxf>
      <fill>
        <patternFill patternType="solid">
          <fgColor rgb="FF75AC78"/>
          <bgColor rgb="FF000000"/>
        </patternFill>
      </fill>
    </dxf>
    <dxf>
      <fill>
        <patternFill patternType="solid">
          <fgColor rgb="FF76AD79"/>
          <bgColor rgb="FF000000"/>
        </patternFill>
      </fill>
    </dxf>
    <dxf>
      <fill>
        <patternFill patternType="solid">
          <fgColor rgb="FF77AE7A"/>
          <bgColor rgb="FF000000"/>
        </patternFill>
      </fill>
    </dxf>
    <dxf>
      <fill>
        <patternFill patternType="solid">
          <fgColor rgb="FF79B07C"/>
          <bgColor rgb="FF000000"/>
        </patternFill>
      </fill>
    </dxf>
    <dxf>
      <fill>
        <patternFill patternType="solid">
          <fgColor rgb="FF82B885"/>
          <bgColor rgb="FF000000"/>
        </patternFill>
      </fill>
    </dxf>
    <dxf>
      <fill>
        <patternFill patternType="solid">
          <fgColor rgb="FF88BD8B"/>
          <bgColor rgb="FF000000"/>
        </patternFill>
      </fill>
    </dxf>
    <dxf>
      <fill>
        <patternFill patternType="solid">
          <fgColor rgb="FF8ABE8C"/>
          <bgColor rgb="FF000000"/>
        </patternFill>
      </fill>
    </dxf>
    <dxf>
      <fill>
        <patternFill patternType="solid">
          <fgColor rgb="FF8DC190"/>
          <bgColor rgb="FF000000"/>
        </patternFill>
      </fill>
    </dxf>
    <dxf>
      <fill>
        <patternFill patternType="solid">
          <fgColor rgb="FF8EC290"/>
          <bgColor rgb="FF000000"/>
        </patternFill>
      </fill>
    </dxf>
    <dxf>
      <fill>
        <patternFill patternType="solid">
          <fgColor rgb="FF90C493"/>
          <bgColor rgb="FF000000"/>
        </patternFill>
      </fill>
    </dxf>
    <dxf>
      <fill>
        <patternFill patternType="solid">
          <fgColor rgb="FF97CA9A"/>
          <bgColor rgb="FF000000"/>
        </patternFill>
      </fill>
    </dxf>
    <dxf>
      <fill>
        <patternFill patternType="solid">
          <fgColor rgb="FF98CB9A"/>
          <bgColor rgb="FF000000"/>
        </patternFill>
      </fill>
    </dxf>
    <dxf>
      <fill>
        <patternFill patternType="solid">
          <fgColor rgb="FF99CC9B"/>
          <bgColor rgb="FF000000"/>
        </patternFill>
      </fill>
    </dxf>
    <dxf>
      <fill>
        <patternFill patternType="solid">
          <fgColor rgb="FF9BCE9E"/>
          <bgColor rgb="FF000000"/>
        </patternFill>
      </fill>
    </dxf>
    <dxf>
      <fill>
        <patternFill patternType="solid">
          <fgColor rgb="FF9CCE9E"/>
          <bgColor rgb="FF000000"/>
        </patternFill>
      </fill>
    </dxf>
    <dxf>
      <fill>
        <patternFill patternType="solid">
          <fgColor rgb="FF9DCF9F"/>
          <bgColor rgb="FF000000"/>
        </patternFill>
      </fill>
    </dxf>
    <dxf>
      <fill>
        <patternFill patternType="solid">
          <fgColor rgb="FF9ED0A1"/>
          <bgColor rgb="FF000000"/>
        </patternFill>
      </fill>
    </dxf>
    <dxf>
      <fill>
        <patternFill patternType="solid">
          <fgColor rgb="FFA1D3A3"/>
          <bgColor rgb="FF000000"/>
        </patternFill>
      </fill>
    </dxf>
    <dxf>
      <fill>
        <patternFill patternType="solid">
          <fgColor rgb="FFA5D6A7"/>
          <bgColor rgb="FF000000"/>
        </patternFill>
      </fill>
    </dxf>
    <dxf>
      <fill>
        <patternFill patternType="solid">
          <fgColor rgb="FFA7D7A9"/>
          <bgColor rgb="FF000000"/>
        </patternFill>
      </fill>
    </dxf>
    <dxf>
      <fill>
        <patternFill patternType="solid">
          <fgColor rgb="FFA8D7A9"/>
          <bgColor rgb="FF000000"/>
        </patternFill>
      </fill>
    </dxf>
    <dxf>
      <fill>
        <patternFill patternType="solid">
          <fgColor rgb="FFA8D7AA"/>
          <bgColor rgb="FF000000"/>
        </patternFill>
      </fill>
    </dxf>
    <dxf>
      <fill>
        <patternFill patternType="solid">
          <fgColor rgb="FFA8D8AA"/>
          <bgColor rgb="FF000000"/>
        </patternFill>
      </fill>
    </dxf>
    <dxf>
      <fill>
        <patternFill patternType="solid">
          <fgColor rgb="FFA9D8AA"/>
          <bgColor rgb="FF000000"/>
        </patternFill>
      </fill>
    </dxf>
    <dxf>
      <fill>
        <patternFill patternType="solid">
          <fgColor rgb="FFAAD8AB"/>
          <bgColor rgb="FF000000"/>
        </patternFill>
      </fill>
    </dxf>
    <dxf>
      <fill>
        <patternFill patternType="solid">
          <fgColor rgb="FFAAD8AC"/>
          <bgColor rgb="FF000000"/>
        </patternFill>
      </fill>
    </dxf>
    <dxf>
      <fill>
        <patternFill patternType="solid">
          <fgColor rgb="FFABD8AC"/>
          <bgColor rgb="FF000000"/>
        </patternFill>
      </fill>
    </dxf>
    <dxf>
      <fill>
        <patternFill patternType="solid">
          <fgColor rgb="FFACD9AD"/>
          <bgColor rgb="FF000000"/>
        </patternFill>
      </fill>
    </dxf>
    <dxf>
      <fill>
        <patternFill patternType="solid">
          <fgColor rgb="FFADD9AE"/>
          <bgColor rgb="FF000000"/>
        </patternFill>
      </fill>
    </dxf>
    <dxf>
      <fill>
        <patternFill patternType="solid">
          <fgColor rgb="FFAED9AF"/>
          <bgColor rgb="FF000000"/>
        </patternFill>
      </fill>
    </dxf>
    <dxf>
      <fill>
        <patternFill patternType="solid">
          <fgColor rgb="FFAEDAAF"/>
          <bgColor rgb="FF000000"/>
        </patternFill>
      </fill>
    </dxf>
    <dxf>
      <fill>
        <patternFill patternType="solid">
          <fgColor rgb="FFB3DBB3"/>
          <bgColor rgb="FF000000"/>
        </patternFill>
      </fill>
    </dxf>
    <dxf>
      <fill>
        <patternFill patternType="solid">
          <fgColor rgb="FFB6DCB6"/>
          <bgColor rgb="FF000000"/>
        </patternFill>
      </fill>
    </dxf>
    <dxf>
      <fill>
        <patternFill patternType="solid">
          <fgColor rgb="FFB9DDB8"/>
          <bgColor rgb="FF000000"/>
        </patternFill>
      </fill>
    </dxf>
    <dxf>
      <fill>
        <patternFill patternType="solid">
          <fgColor rgb="FFBADDB9"/>
          <bgColor rgb="FF000000"/>
        </patternFill>
      </fill>
    </dxf>
    <dxf>
      <fill>
        <patternFill patternType="solid">
          <fgColor rgb="FFBADEB9"/>
          <bgColor rgb="FF000000"/>
        </patternFill>
      </fill>
    </dxf>
    <dxf>
      <fill>
        <patternFill patternType="solid">
          <fgColor rgb="FFBDDFBC"/>
          <bgColor rgb="FF000000"/>
        </patternFill>
      </fill>
    </dxf>
    <dxf>
      <fill>
        <patternFill patternType="solid">
          <fgColor rgb="FFBEDFBC"/>
          <bgColor rgb="FF000000"/>
        </patternFill>
      </fill>
    </dxf>
    <dxf>
      <fill>
        <patternFill patternType="solid">
          <fgColor rgb="FFBFDFBD"/>
          <bgColor rgb="FF000000"/>
        </patternFill>
      </fill>
    </dxf>
    <dxf>
      <fill>
        <patternFill patternType="solid">
          <fgColor rgb="FFC0DFBE"/>
          <bgColor rgb="FF000000"/>
        </patternFill>
      </fill>
    </dxf>
    <dxf>
      <fill>
        <patternFill patternType="solid">
          <fgColor rgb="FFC0E0BE"/>
          <bgColor rgb="FF000000"/>
        </patternFill>
      </fill>
    </dxf>
    <dxf>
      <fill>
        <patternFill patternType="solid">
          <fgColor rgb="FFC1E0BE"/>
          <bgColor rgb="FF000000"/>
        </patternFill>
      </fill>
    </dxf>
    <dxf>
      <fill>
        <patternFill patternType="solid">
          <fgColor rgb="FFC1E0BF"/>
          <bgColor rgb="FF000000"/>
        </patternFill>
      </fill>
    </dxf>
    <dxf>
      <fill>
        <patternFill patternType="solid">
          <fgColor rgb="FFC2E0C0"/>
          <bgColor rgb="FF000000"/>
        </patternFill>
      </fill>
    </dxf>
    <dxf>
      <fill>
        <patternFill patternType="solid">
          <fgColor rgb="FFC3E1C1"/>
          <bgColor rgb="FF000000"/>
        </patternFill>
      </fill>
    </dxf>
    <dxf>
      <fill>
        <patternFill patternType="solid">
          <fgColor rgb="FFC5E1C2"/>
          <bgColor rgb="FF000000"/>
        </patternFill>
      </fill>
    </dxf>
    <dxf>
      <fill>
        <patternFill patternType="solid">
          <fgColor rgb="FFC6E2C3"/>
          <bgColor rgb="FF000000"/>
        </patternFill>
      </fill>
    </dxf>
    <dxf>
      <fill>
        <patternFill patternType="solid">
          <fgColor rgb="FFC9E3C6"/>
          <bgColor rgb="FF000000"/>
        </patternFill>
      </fill>
    </dxf>
    <dxf>
      <fill>
        <patternFill patternType="solid">
          <fgColor rgb="FFCEE4CA"/>
          <bgColor rgb="FF000000"/>
        </patternFill>
      </fill>
    </dxf>
    <dxf>
      <fill>
        <patternFill patternType="solid">
          <fgColor rgb="FFD0E5CC"/>
          <bgColor rgb="FF000000"/>
        </patternFill>
      </fill>
    </dxf>
    <dxf>
      <fill>
        <patternFill patternType="solid">
          <fgColor rgb="FFD2E6CD"/>
          <bgColor rgb="FF000000"/>
        </patternFill>
      </fill>
    </dxf>
    <dxf>
      <fill>
        <patternFill patternType="solid">
          <fgColor rgb="FFD2E6CE"/>
          <bgColor rgb="FF000000"/>
        </patternFill>
      </fill>
    </dxf>
    <dxf>
      <fill>
        <patternFill patternType="solid">
          <fgColor rgb="FFD3E6CE"/>
          <bgColor rgb="FF000000"/>
        </patternFill>
      </fill>
    </dxf>
    <dxf>
      <fill>
        <patternFill patternType="solid">
          <fgColor rgb="FFD5E7D0"/>
          <bgColor rgb="FF000000"/>
        </patternFill>
      </fill>
    </dxf>
    <dxf>
      <fill>
        <patternFill patternType="solid">
          <fgColor rgb="FFD8E8D3"/>
          <bgColor rgb="FF000000"/>
        </patternFill>
      </fill>
    </dxf>
    <dxf>
      <fill>
        <patternFill patternType="solid">
          <fgColor rgb="FFD9E8D3"/>
          <bgColor rgb="FF000000"/>
        </patternFill>
      </fill>
    </dxf>
    <dxf>
      <fill>
        <patternFill patternType="solid">
          <fgColor rgb="FFDBE9D5"/>
          <bgColor rgb="FF000000"/>
        </patternFill>
      </fill>
    </dxf>
    <dxf>
      <fill>
        <patternFill patternType="solid">
          <fgColor rgb="FFDFEAD8"/>
          <bgColor rgb="FF000000"/>
        </patternFill>
      </fill>
    </dxf>
    <dxf>
      <fill>
        <patternFill patternType="solid">
          <fgColor rgb="FFE1EBDA"/>
          <bgColor rgb="FF000000"/>
        </patternFill>
      </fill>
    </dxf>
    <dxf>
      <fill>
        <patternFill patternType="solid">
          <fgColor rgb="FFE7EDDF"/>
          <bgColor rgb="FF000000"/>
        </patternFill>
      </fill>
    </dxf>
    <dxf>
      <fill>
        <patternFill patternType="solid">
          <fgColor rgb="FFECEEE3"/>
          <bgColor rgb="FF000000"/>
        </patternFill>
      </fill>
    </dxf>
    <dxf>
      <fill>
        <patternFill patternType="solid">
          <fgColor rgb="FFECEFE3"/>
          <bgColor rgb="FF000000"/>
        </patternFill>
      </fill>
    </dxf>
    <dxf>
      <fill>
        <patternFill patternType="solid">
          <fgColor rgb="FFEFF0E6"/>
          <bgColor rgb="FF000000"/>
        </patternFill>
      </fill>
    </dxf>
    <dxf>
      <fill>
        <patternFill>
          <bgColor rgb="FFFFE082"/>
        </patternFill>
      </fill>
    </dxf>
    <dxf>
      <fill>
        <patternFill patternType="solid">
          <fgColor rgb="FF1A3A2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33691E"/>
      <rgbColor rgb="FF800080"/>
      <rgbColor rgb="FF00695C"/>
      <rgbColor rgb="FFCCCCCC"/>
      <rgbColor rgb="FF878787"/>
      <rgbColor rgb="FF9999FF"/>
      <rgbColor rgb="FF6D4C41"/>
      <rgbColor rgb="FFF4F1EA"/>
      <rgbColor rgb="FFF9F9F9"/>
      <rgbColor rgb="FF4A148C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2C5F4A"/>
      <rgbColor rgb="FF0000FF"/>
      <rgbColor rgb="FF00CCFF"/>
      <rgbColor rgb="FFCCFFFF"/>
      <rgbColor rgb="FFC6EFCE"/>
      <rgbColor rgb="FFFFF3B0"/>
      <rgbColor rgb="FF99CCFF"/>
      <rgbColor rgb="FFFF99CC"/>
      <rgbColor rgb="FFCC99FF"/>
      <rgbColor rgb="FFFFE082"/>
      <rgbColor rgb="FF4F81BD"/>
      <rgbColor rgb="FF33CCCC"/>
      <rgbColor rgb="FF99CC00"/>
      <rgbColor rgb="FFFFCC00"/>
      <rgbColor rgb="FFFF9900"/>
      <rgbColor rgb="FFE65100"/>
      <rgbColor rgb="FF616161"/>
      <rgbColor rgb="FF969696"/>
      <rgbColor rgb="FF1B5E20"/>
      <rgbColor rgb="FF2E7D32"/>
      <rgbColor rgb="FF006400"/>
      <rgbColor rgb="FF222222"/>
      <rgbColor rgb="FF7A2E0E"/>
      <rgbColor rgb="FFB71C1C"/>
      <rgbColor rgb="FF555555"/>
      <rgbColor rgb="FF1A3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CombatIndex by faction (heuristic)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05_FACTION_COMPARE!H2</c:f>
              <c:strCache>
                <c:ptCount val="1"/>
                <c:pt idx="0">
                  <c:v>Avg CombatIndex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05_FACTION_COMPARE!$A$3:$A$11</c:f>
              <c:strCache>
                <c:ptCount val="9"/>
                <c:pt idx="0">
                  <c:v>Egypt</c:v>
                </c:pt>
                <c:pt idx="1">
                  <c:v>Saudi</c:v>
                </c:pt>
                <c:pt idx="2">
                  <c:v>UAE</c:v>
                </c:pt>
                <c:pt idx="3">
                  <c:v>Algeria</c:v>
                </c:pt>
                <c:pt idx="4">
                  <c:v>Turkey</c:v>
                </c:pt>
                <c:pt idx="5">
                  <c:v>Israel</c:v>
                </c:pt>
                <c:pt idx="6">
                  <c:v>India</c:v>
                </c:pt>
                <c:pt idx="7">
                  <c:v>Pakistan</c:v>
                </c:pt>
                <c:pt idx="8">
                  <c:v>Iran</c:v>
                </c:pt>
              </c:strCache>
            </c:strRef>
          </c:cat>
          <c:val>
            <c:numRef>
              <c:f>05_FACTION_COMPARE!$H$3:$H$11</c:f>
              <c:numCache>
                <c:formatCode>0.00</c:formatCode>
                <c:ptCount val="9"/>
                <c:pt idx="0">
                  <c:v>234.493953723943</c:v>
                </c:pt>
                <c:pt idx="1">
                  <c:v>246.535190978388</c:v>
                </c:pt>
                <c:pt idx="2">
                  <c:v>244.082837047537</c:v>
                </c:pt>
                <c:pt idx="3">
                  <c:v>237.457985385852</c:v>
                </c:pt>
                <c:pt idx="4">
                  <c:v>243.332229632868</c:v>
                </c:pt>
                <c:pt idx="5">
                  <c:v>227.979885217118</c:v>
                </c:pt>
                <c:pt idx="6">
                  <c:v>216.006466089626</c:v>
                </c:pt>
                <c:pt idx="7">
                  <c:v>222.147114944723</c:v>
                </c:pt>
                <c:pt idx="8">
                  <c:v>198.2448889525</c:v>
                </c:pt>
              </c:numCache>
            </c:numRef>
          </c:val>
        </c:ser>
        <c:gapWidth val="150"/>
        <c:overlap val="0"/>
        <c:axId val="51471291"/>
        <c:axId val="65514522"/>
      </c:barChart>
      <c:catAx>
        <c:axId val="514712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514522"/>
        <c:crosses val="autoZero"/>
        <c:auto val="1"/>
        <c:lblAlgn val="ctr"/>
        <c:lblOffset val="100"/>
        <c:noMultiLvlLbl val="0"/>
      </c:catAx>
      <c:valAx>
        <c:axId val="655145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CombatIndex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712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300960</xdr:rowOff>
    </xdr:from>
    <xdr:to>
      <xdr:col>6</xdr:col>
      <xdr:colOff>558720</xdr:colOff>
      <xdr:row>30</xdr:row>
      <xdr:rowOff>176400</xdr:rowOff>
    </xdr:to>
    <xdr:graphicFrame>
      <xdr:nvGraphicFramePr>
        <xdr:cNvPr id="0" name="Chart 1"/>
        <xdr:cNvGraphicFramePr/>
      </xdr:nvGraphicFramePr>
      <xdr:xfrm>
        <a:off x="0" y="4057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2A"/>
    <pageSetUpPr fitToPage="true"/>
  </sheetPr>
  <dimension ref="B2:H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8" min="5" style="0" width="14"/>
  </cols>
  <sheetData>
    <row r="2" customFormat="false" ht="24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true" outlineLevel="0" collapsed="false">
      <c r="B5" s="3" t="s">
        <v>2</v>
      </c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B6" s="4" t="s">
        <v>3</v>
      </c>
      <c r="C6" s="4"/>
      <c r="D6" s="4"/>
      <c r="E6" s="4"/>
      <c r="F6" s="4"/>
      <c r="G6" s="4"/>
      <c r="H6" s="4"/>
    </row>
    <row r="7" customFormat="false" ht="15" hidden="false" customHeight="true" outlineLevel="0" collapsed="false">
      <c r="B7" s="4" t="s">
        <v>4</v>
      </c>
      <c r="C7" s="4"/>
      <c r="D7" s="4"/>
      <c r="E7" s="4"/>
      <c r="F7" s="4"/>
      <c r="G7" s="4"/>
      <c r="H7" s="4"/>
    </row>
    <row r="8" customFormat="false" ht="15" hidden="false" customHeight="true" outlineLevel="0" collapsed="false">
      <c r="B8" s="4" t="s">
        <v>5</v>
      </c>
      <c r="C8" s="4"/>
      <c r="D8" s="4"/>
      <c r="E8" s="4"/>
      <c r="F8" s="4"/>
      <c r="G8" s="4"/>
      <c r="H8" s="4"/>
    </row>
    <row r="9" customFormat="false" ht="15" hidden="false" customHeight="true" outlineLevel="0" collapsed="false">
      <c r="B9" s="4" t="s">
        <v>6</v>
      </c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B10" s="4" t="s">
        <v>7</v>
      </c>
      <c r="C10" s="4"/>
      <c r="D10" s="4"/>
      <c r="E10" s="4"/>
      <c r="F10" s="4"/>
      <c r="G10" s="4"/>
      <c r="H10" s="4"/>
    </row>
    <row r="11" customFormat="false" ht="15" hidden="false" customHeight="true" outlineLevel="0" collapsed="false">
      <c r="B11" s="4" t="s">
        <v>8</v>
      </c>
      <c r="C11" s="4"/>
      <c r="D11" s="4"/>
      <c r="E11" s="4"/>
      <c r="F11" s="4"/>
      <c r="G11" s="4"/>
      <c r="H11" s="4"/>
    </row>
    <row r="12" customFormat="false" ht="15" hidden="false" customHeight="true" outlineLevel="0" collapsed="false">
      <c r="B12" s="4" t="s">
        <v>9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B13" s="4" t="s">
        <v>10</v>
      </c>
      <c r="C13" s="4"/>
      <c r="D13" s="4"/>
      <c r="E13" s="4"/>
      <c r="F13" s="4"/>
      <c r="G13" s="4"/>
      <c r="H13" s="4"/>
    </row>
    <row r="15" customFormat="false" ht="15" hidden="false" customHeight="true" outlineLevel="0" collapsed="false">
      <c r="B15" s="3" t="s">
        <v>11</v>
      </c>
      <c r="C15" s="3"/>
      <c r="D15" s="3"/>
      <c r="E15" s="3"/>
      <c r="F15" s="3"/>
      <c r="G15" s="3"/>
      <c r="H15" s="3"/>
    </row>
    <row r="16" customFormat="false" ht="15" hidden="false" customHeight="true" outlineLevel="0" collapsed="false">
      <c r="B16" s="4" t="s">
        <v>12</v>
      </c>
      <c r="C16" s="4"/>
      <c r="D16" s="4"/>
      <c r="E16" s="4"/>
      <c r="F16" s="4"/>
      <c r="G16" s="4"/>
      <c r="H16" s="4"/>
    </row>
    <row r="17" customFormat="false" ht="15" hidden="false" customHeight="true" outlineLevel="0" collapsed="false">
      <c r="B17" s="4" t="s">
        <v>13</v>
      </c>
      <c r="C17" s="4"/>
      <c r="D17" s="4"/>
      <c r="E17" s="4"/>
      <c r="F17" s="4"/>
      <c r="G17" s="4"/>
      <c r="H17" s="4"/>
    </row>
    <row r="18" customFormat="false" ht="15" hidden="false" customHeight="true" outlineLevel="0" collapsed="false">
      <c r="B18" s="4" t="s">
        <v>14</v>
      </c>
      <c r="C18" s="4"/>
      <c r="D18" s="4"/>
      <c r="E18" s="4"/>
      <c r="F18" s="4"/>
      <c r="G18" s="4"/>
      <c r="H18" s="4"/>
    </row>
    <row r="20" customFormat="false" ht="15" hidden="false" customHeight="true" outlineLevel="0" collapsed="false">
      <c r="B20" s="3" t="s">
        <v>15</v>
      </c>
      <c r="C20" s="3"/>
      <c r="D20" s="3"/>
      <c r="E20" s="3"/>
      <c r="F20" s="3"/>
      <c r="G20" s="3"/>
      <c r="H20" s="3"/>
    </row>
    <row r="21" customFormat="false" ht="15" hidden="false" customHeight="true" outlineLevel="0" collapsed="false">
      <c r="B21" s="4" t="s">
        <v>16</v>
      </c>
      <c r="C21" s="4"/>
      <c r="D21" s="4"/>
      <c r="E21" s="4"/>
      <c r="F21" s="4"/>
      <c r="G21" s="4"/>
      <c r="H21" s="4"/>
    </row>
    <row r="23" customFormat="false" ht="15" hidden="false" customHeight="true" outlineLevel="0" collapsed="false">
      <c r="B23" s="3" t="s">
        <v>17</v>
      </c>
      <c r="C23" s="3"/>
      <c r="D23" s="3"/>
      <c r="E23" s="3"/>
      <c r="F23" s="3"/>
      <c r="G23" s="3"/>
      <c r="H23" s="3"/>
    </row>
    <row r="24" customFormat="false" ht="15" hidden="false" customHeight="true" outlineLevel="0" collapsed="false">
      <c r="B24" s="4" t="s">
        <v>18</v>
      </c>
      <c r="C24" s="4"/>
      <c r="D24" s="4"/>
      <c r="E24" s="4"/>
      <c r="F24" s="4"/>
      <c r="G24" s="4"/>
      <c r="H24" s="4"/>
    </row>
    <row r="25" customFormat="false" ht="15" hidden="false" customHeight="true" outlineLevel="0" collapsed="false">
      <c r="B25" s="4" t="s">
        <v>19</v>
      </c>
      <c r="C25" s="4"/>
      <c r="D25" s="4"/>
      <c r="E25" s="4"/>
      <c r="F25" s="4"/>
      <c r="G25" s="4"/>
      <c r="H25" s="4"/>
    </row>
    <row r="27" customFormat="false" ht="15" hidden="false" customHeight="false" outlineLevel="0" collapsed="false">
      <c r="B27" s="0" t="s">
        <v>20</v>
      </c>
      <c r="C27" s="5" t="s">
        <v>21</v>
      </c>
    </row>
    <row r="28" customFormat="false" ht="15" hidden="false" customHeight="false" outlineLevel="0" collapsed="false">
      <c r="B28" s="0" t="s">
        <v>22</v>
      </c>
      <c r="C28" s="5" t="s">
        <v>23</v>
      </c>
    </row>
    <row r="29" customFormat="false" ht="15" hidden="false" customHeight="false" outlineLevel="0" collapsed="false">
      <c r="B29" s="0" t="s">
        <v>24</v>
      </c>
      <c r="C29" s="5" t="s">
        <v>25</v>
      </c>
    </row>
  </sheetData>
  <mergeCells count="20">
    <mergeCell ref="B2:H2"/>
    <mergeCell ref="B3:H3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5:H15"/>
    <mergeCell ref="B16:H16"/>
    <mergeCell ref="B17:H17"/>
    <mergeCell ref="B18:H18"/>
    <mergeCell ref="B20:H20"/>
    <mergeCell ref="B21:H21"/>
    <mergeCell ref="B23:H23"/>
    <mergeCell ref="B24:H24"/>
    <mergeCell ref="B25:H25"/>
  </mergeCells>
  <printOptions headings="false" gridLines="false" gridLinesSet="true" horizontalCentered="false" verticalCentered="false"/>
  <pageMargins left="0.4" right="0.4" top="0.5" bottom="0.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&amp;LASH-SHARQ  ·  Stat Sheet v0.2</oddHeader>
    <oddFooter>&amp;RConfidential  ·  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3B0"/>
    <pageSetUpPr fitToPage="tru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48"/>
    <col collapsed="false" customWidth="true" hidden="false" outlineLevel="0" max="6" min="6" style="0" width="10"/>
  </cols>
  <sheetData>
    <row r="1" customFormat="false" ht="21.75" hidden="false" customHeight="true" outlineLevel="0" collapsed="false">
      <c r="A1" s="6" t="s">
        <v>26</v>
      </c>
      <c r="B1" s="6"/>
      <c r="C1" s="6"/>
      <c r="D1" s="6"/>
      <c r="E1" s="6"/>
      <c r="F1" s="6"/>
    </row>
    <row r="2" customFormat="false" ht="15" hidden="false" customHeight="false" outlineLevel="0" collapsed="false">
      <c r="A2" s="7" t="s">
        <v>27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</row>
    <row r="3" customFormat="false" ht="15" hidden="false" customHeight="false" outlineLevel="0" collapsed="false">
      <c r="A3" s="8" t="s">
        <v>33</v>
      </c>
      <c r="B3" s="9" t="n">
        <v>0.25</v>
      </c>
      <c r="C3" s="10" t="s">
        <v>34</v>
      </c>
      <c r="D3" s="10" t="s">
        <v>35</v>
      </c>
      <c r="E3" s="10" t="s">
        <v>36</v>
      </c>
      <c r="F3" s="11" t="s">
        <v>37</v>
      </c>
    </row>
    <row r="4" customFormat="false" ht="15" hidden="false" customHeight="false" outlineLevel="0" collapsed="false">
      <c r="A4" s="12" t="s">
        <v>38</v>
      </c>
      <c r="B4" s="9" t="n">
        <v>0.25</v>
      </c>
      <c r="C4" s="13" t="s">
        <v>34</v>
      </c>
      <c r="D4" s="13" t="s">
        <v>35</v>
      </c>
      <c r="E4" s="13" t="s">
        <v>39</v>
      </c>
      <c r="F4" s="14" t="s">
        <v>37</v>
      </c>
    </row>
    <row r="5" customFormat="false" ht="15" hidden="false" customHeight="false" outlineLevel="0" collapsed="false">
      <c r="A5" s="8" t="s">
        <v>40</v>
      </c>
      <c r="B5" s="9" t="n">
        <v>0.1</v>
      </c>
      <c r="C5" s="10" t="s">
        <v>34</v>
      </c>
      <c r="D5" s="10" t="s">
        <v>35</v>
      </c>
      <c r="E5" s="10" t="s">
        <v>41</v>
      </c>
      <c r="F5" s="11" t="s">
        <v>37</v>
      </c>
    </row>
    <row r="6" customFormat="false" ht="15" hidden="false" customHeight="false" outlineLevel="0" collapsed="false">
      <c r="A6" s="12" t="s">
        <v>42</v>
      </c>
      <c r="B6" s="9" t="n">
        <v>0.85</v>
      </c>
      <c r="C6" s="13" t="s">
        <v>34</v>
      </c>
      <c r="D6" s="13" t="s">
        <v>43</v>
      </c>
      <c r="E6" s="13" t="s">
        <v>44</v>
      </c>
      <c r="F6" s="14" t="s">
        <v>37</v>
      </c>
    </row>
    <row r="7" customFormat="false" ht="15" hidden="false" customHeight="false" outlineLevel="0" collapsed="false">
      <c r="A7" s="8" t="s">
        <v>45</v>
      </c>
      <c r="B7" s="9" t="n">
        <v>1</v>
      </c>
      <c r="C7" s="10" t="s">
        <v>34</v>
      </c>
      <c r="D7" s="10" t="s">
        <v>43</v>
      </c>
      <c r="E7" s="10" t="s">
        <v>46</v>
      </c>
      <c r="F7" s="11" t="s">
        <v>37</v>
      </c>
    </row>
    <row r="8" customFormat="false" ht="15" hidden="false" customHeight="false" outlineLevel="0" collapsed="false">
      <c r="A8" s="12" t="s">
        <v>47</v>
      </c>
      <c r="B8" s="9" t="n">
        <v>1.15</v>
      </c>
      <c r="C8" s="13" t="s">
        <v>34</v>
      </c>
      <c r="D8" s="13" t="s">
        <v>43</v>
      </c>
      <c r="E8" s="13" t="s">
        <v>48</v>
      </c>
      <c r="F8" s="14" t="s">
        <v>37</v>
      </c>
    </row>
    <row r="9" customFormat="false" ht="15" hidden="false" customHeight="false" outlineLevel="0" collapsed="false">
      <c r="A9" s="8" t="s">
        <v>49</v>
      </c>
      <c r="B9" s="9" t="n">
        <v>1.35</v>
      </c>
      <c r="C9" s="10" t="s">
        <v>34</v>
      </c>
      <c r="D9" s="10" t="s">
        <v>43</v>
      </c>
      <c r="E9" s="10" t="s">
        <v>50</v>
      </c>
      <c r="F9" s="11" t="s">
        <v>37</v>
      </c>
    </row>
    <row r="10" customFormat="false" ht="15" hidden="false" customHeight="false" outlineLevel="0" collapsed="false">
      <c r="A10" s="12" t="s">
        <v>51</v>
      </c>
      <c r="B10" s="9" t="n">
        <v>1.8</v>
      </c>
      <c r="C10" s="13" t="s">
        <v>34</v>
      </c>
      <c r="D10" s="13" t="s">
        <v>43</v>
      </c>
      <c r="E10" s="13" t="s">
        <v>52</v>
      </c>
      <c r="F10" s="14" t="s">
        <v>37</v>
      </c>
    </row>
    <row r="11" customFormat="false" ht="15" hidden="false" customHeight="false" outlineLevel="0" collapsed="false">
      <c r="A11" s="8" t="s">
        <v>53</v>
      </c>
      <c r="B11" s="15" t="n">
        <v>2.2</v>
      </c>
      <c r="C11" s="10" t="s">
        <v>34</v>
      </c>
      <c r="D11" s="10" t="s">
        <v>43</v>
      </c>
      <c r="E11" s="10" t="s">
        <v>54</v>
      </c>
      <c r="F11" s="11" t="s">
        <v>37</v>
      </c>
    </row>
    <row r="12" customFormat="false" ht="15" hidden="false" customHeight="false" outlineLevel="0" collapsed="false">
      <c r="A12" s="12" t="s">
        <v>55</v>
      </c>
      <c r="B12" s="9" t="n">
        <v>0.75</v>
      </c>
      <c r="C12" s="13" t="s">
        <v>56</v>
      </c>
      <c r="D12" s="13" t="s">
        <v>57</v>
      </c>
      <c r="E12" s="13" t="s">
        <v>58</v>
      </c>
      <c r="F12" s="14" t="s">
        <v>37</v>
      </c>
    </row>
    <row r="13" customFormat="false" ht="15" hidden="false" customHeight="false" outlineLevel="0" collapsed="false">
      <c r="A13" s="8" t="s">
        <v>59</v>
      </c>
      <c r="B13" s="9" t="n">
        <v>0.7</v>
      </c>
      <c r="C13" s="10" t="s">
        <v>56</v>
      </c>
      <c r="D13" s="10" t="s">
        <v>60</v>
      </c>
      <c r="E13" s="10" t="s">
        <v>61</v>
      </c>
      <c r="F13" s="11" t="s">
        <v>37</v>
      </c>
    </row>
    <row r="14" customFormat="false" ht="15" hidden="false" customHeight="false" outlineLevel="0" collapsed="false">
      <c r="A14" s="12" t="s">
        <v>62</v>
      </c>
      <c r="B14" s="9" t="n">
        <v>0.65</v>
      </c>
      <c r="C14" s="13" t="s">
        <v>56</v>
      </c>
      <c r="D14" s="13" t="s">
        <v>63</v>
      </c>
      <c r="E14" s="13" t="s">
        <v>64</v>
      </c>
      <c r="F14" s="14" t="s">
        <v>37</v>
      </c>
    </row>
    <row r="15" customFormat="false" ht="15" hidden="false" customHeight="false" outlineLevel="0" collapsed="false">
      <c r="A15" s="8" t="s">
        <v>65</v>
      </c>
      <c r="B15" s="9" t="n">
        <v>0.6</v>
      </c>
      <c r="C15" s="10" t="s">
        <v>56</v>
      </c>
      <c r="D15" s="10" t="s">
        <v>66</v>
      </c>
      <c r="E15" s="10" t="s">
        <v>67</v>
      </c>
      <c r="F15" s="11" t="s">
        <v>37</v>
      </c>
    </row>
    <row r="16" customFormat="false" ht="15" hidden="false" customHeight="false" outlineLevel="0" collapsed="false">
      <c r="A16" s="12" t="s">
        <v>68</v>
      </c>
      <c r="B16" s="9" t="n">
        <v>0.55</v>
      </c>
      <c r="C16" s="13" t="s">
        <v>56</v>
      </c>
      <c r="D16" s="13" t="s">
        <v>69</v>
      </c>
      <c r="E16" s="13" t="s">
        <v>70</v>
      </c>
      <c r="F16" s="14" t="s">
        <v>37</v>
      </c>
    </row>
    <row r="17" customFormat="false" ht="15" hidden="false" customHeight="false" outlineLevel="0" collapsed="false">
      <c r="A17" s="8" t="s">
        <v>71</v>
      </c>
      <c r="B17" s="15" t="n">
        <v>40</v>
      </c>
      <c r="C17" s="10" t="s">
        <v>72</v>
      </c>
      <c r="D17" s="10" t="s">
        <v>73</v>
      </c>
      <c r="E17" s="10" t="s">
        <v>74</v>
      </c>
      <c r="F17" s="11" t="s">
        <v>37</v>
      </c>
    </row>
    <row r="18" customFormat="false" ht="15" hidden="false" customHeight="false" outlineLevel="0" collapsed="false">
      <c r="A18" s="12" t="s">
        <v>75</v>
      </c>
      <c r="B18" s="15" t="n">
        <v>20</v>
      </c>
      <c r="C18" s="13" t="s">
        <v>76</v>
      </c>
      <c r="D18" s="13" t="s">
        <v>77</v>
      </c>
      <c r="E18" s="13" t="s">
        <v>78</v>
      </c>
      <c r="F18" s="14" t="s">
        <v>37</v>
      </c>
    </row>
    <row r="19" customFormat="false" ht="15" hidden="false" customHeight="false" outlineLevel="0" collapsed="false">
      <c r="A19" s="8" t="s">
        <v>79</v>
      </c>
      <c r="B19" s="15" t="n">
        <v>8</v>
      </c>
      <c r="C19" s="10" t="s">
        <v>76</v>
      </c>
      <c r="D19" s="10" t="s">
        <v>80</v>
      </c>
      <c r="E19" s="10" t="s">
        <v>81</v>
      </c>
      <c r="F19" s="11" t="s">
        <v>37</v>
      </c>
    </row>
    <row r="20" customFormat="false" ht="15" hidden="false" customHeight="false" outlineLevel="0" collapsed="false">
      <c r="A20" s="12" t="s">
        <v>82</v>
      </c>
      <c r="B20" s="15" t="n">
        <v>10000</v>
      </c>
      <c r="C20" s="13" t="s">
        <v>83</v>
      </c>
      <c r="D20" s="13" t="s">
        <v>84</v>
      </c>
      <c r="E20" s="13" t="s">
        <v>85</v>
      </c>
      <c r="F20" s="14" t="s">
        <v>37</v>
      </c>
    </row>
    <row r="21" customFormat="false" ht="15" hidden="false" customHeight="false" outlineLevel="0" collapsed="false">
      <c r="A21" s="8" t="s">
        <v>86</v>
      </c>
      <c r="B21" s="15" t="n">
        <v>35</v>
      </c>
      <c r="C21" s="10" t="s">
        <v>87</v>
      </c>
      <c r="D21" s="10" t="s">
        <v>88</v>
      </c>
      <c r="E21" s="10" t="s">
        <v>89</v>
      </c>
      <c r="F21" s="11" t="s">
        <v>37</v>
      </c>
    </row>
    <row r="22" customFormat="false" ht="15" hidden="false" customHeight="false" outlineLevel="0" collapsed="false">
      <c r="A22" s="12" t="s">
        <v>90</v>
      </c>
      <c r="B22" s="15" t="n">
        <v>100</v>
      </c>
      <c r="C22" s="13" t="s">
        <v>91</v>
      </c>
      <c r="D22" s="13" t="s">
        <v>92</v>
      </c>
      <c r="E22" s="13" t="s">
        <v>93</v>
      </c>
      <c r="F22" s="14" t="s">
        <v>37</v>
      </c>
    </row>
    <row r="23" customFormat="false" ht="15" hidden="false" customHeight="false" outlineLevel="0" collapsed="false">
      <c r="A23" s="8" t="s">
        <v>94</v>
      </c>
      <c r="B23" s="9" t="n">
        <v>0.4</v>
      </c>
      <c r="C23" s="10" t="s">
        <v>34</v>
      </c>
      <c r="D23" s="10" t="s">
        <v>95</v>
      </c>
      <c r="E23" s="10" t="s">
        <v>96</v>
      </c>
      <c r="F23" s="11" t="s">
        <v>37</v>
      </c>
    </row>
    <row r="24" customFormat="false" ht="15" hidden="false" customHeight="false" outlineLevel="0" collapsed="false">
      <c r="A24" s="12" t="s">
        <v>97</v>
      </c>
      <c r="B24" s="15" t="n">
        <v>1400</v>
      </c>
      <c r="C24" s="13" t="s">
        <v>83</v>
      </c>
      <c r="D24" s="13" t="s">
        <v>88</v>
      </c>
      <c r="E24" s="13" t="s">
        <v>98</v>
      </c>
      <c r="F24" s="14" t="s">
        <v>37</v>
      </c>
    </row>
    <row r="25" customFormat="false" ht="15" hidden="false" customHeight="false" outlineLevel="0" collapsed="false">
      <c r="A25" s="8" t="s">
        <v>99</v>
      </c>
      <c r="B25" s="15" t="n">
        <v>400</v>
      </c>
      <c r="C25" s="10" t="s">
        <v>72</v>
      </c>
      <c r="D25" s="10" t="s">
        <v>88</v>
      </c>
      <c r="E25" s="10" t="s">
        <v>98</v>
      </c>
      <c r="F25" s="11" t="s">
        <v>37</v>
      </c>
    </row>
    <row r="26" customFormat="false" ht="15" hidden="false" customHeight="false" outlineLevel="0" collapsed="false">
      <c r="A26" s="12" t="s">
        <v>100</v>
      </c>
      <c r="B26" s="15" t="n">
        <v>1500</v>
      </c>
      <c r="C26" s="13" t="s">
        <v>83</v>
      </c>
      <c r="D26" s="13" t="s">
        <v>101</v>
      </c>
      <c r="E26" s="13" t="s">
        <v>102</v>
      </c>
      <c r="F26" s="14" t="s">
        <v>37</v>
      </c>
    </row>
    <row r="27" customFormat="false" ht="15" hidden="false" customHeight="false" outlineLevel="0" collapsed="false">
      <c r="A27" s="8" t="s">
        <v>103</v>
      </c>
      <c r="B27" s="15" t="n">
        <v>150</v>
      </c>
      <c r="C27" s="10" t="s">
        <v>83</v>
      </c>
      <c r="D27" s="10" t="s">
        <v>101</v>
      </c>
      <c r="E27" s="10" t="s">
        <v>104</v>
      </c>
      <c r="F27" s="11" t="s">
        <v>37</v>
      </c>
    </row>
    <row r="30" customFormat="false" ht="15" hidden="false" customHeight="false" outlineLevel="0" collapsed="false">
      <c r="A30" s="2" t="s">
        <v>105</v>
      </c>
      <c r="B30" s="2"/>
      <c r="C30" s="2"/>
      <c r="D30" s="2"/>
      <c r="E30" s="2"/>
      <c r="F30" s="2"/>
    </row>
  </sheetData>
  <autoFilter ref="A2:F27"/>
  <mergeCells count="2">
    <mergeCell ref="A1:F1"/>
    <mergeCell ref="A30:F30"/>
  </mergeCells>
  <printOptions headings="false" gridLines="false" gridLinesSet="true" horizontalCentered="false" verticalCentered="false"/>
  <pageMargins left="0.4" right="0.4" top="0.5" bottom="0.5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&amp;LASH-SHARQ  ·  Stat Sheet v0.2</oddHeader>
    <oddFooter>&amp;RConfidential  ·  Page &amp;P /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5F4A"/>
    <pageSetUpPr fitToPage="true"/>
  </sheetPr>
  <dimension ref="A1:AD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3" min="12" style="0" width="8"/>
    <col collapsed="false" customWidth="true" hidden="false" outlineLevel="0" max="14" min="14" style="0" width="10"/>
    <col collapsed="false" customWidth="true" hidden="false" outlineLevel="0" max="16" min="15" style="0" width="11"/>
    <col collapsed="false" customWidth="true" hidden="false" outlineLevel="0" max="18" min="17" style="0" width="10"/>
    <col collapsed="false" customWidth="true" hidden="false" outlineLevel="0" max="20" min="19" style="0" width="8"/>
    <col collapsed="false" customWidth="true" hidden="false" outlineLevel="0" max="21" min="21" style="0" width="36"/>
    <col collapsed="false" customWidth="true" hidden="false" outlineLevel="0" max="22" min="22" style="0" width="22"/>
    <col collapsed="false" customWidth="true" hidden="false" outlineLevel="0" max="23" min="23" style="0" width="18"/>
    <col collapsed="false" customWidth="true" hidden="false" outlineLevel="0" max="24" min="24" style="0" width="28"/>
    <col collapsed="false" customWidth="true" hidden="false" outlineLevel="0" max="25" min="25" style="0" width="10"/>
    <col collapsed="false" customWidth="true" hidden="false" outlineLevel="0" max="26" min="26" style="0" width="11"/>
    <col collapsed="false" customWidth="true" hidden="false" outlineLevel="0" max="27" min="27" style="0" width="10"/>
    <col collapsed="false" customWidth="true" hidden="false" outlineLevel="0" max="28" min="28" style="0" width="12"/>
    <col collapsed="false" customWidth="true" hidden="false" outlineLevel="0" max="29" min="29" style="0" width="14"/>
    <col collapsed="false" customWidth="true" hidden="false" outlineLevel="0" max="30" min="30" style="0" width="12"/>
  </cols>
  <sheetData>
    <row r="1" customFormat="false" ht="19.5" hidden="false" customHeight="true" outlineLevel="0" collapsed="false">
      <c r="A1" s="6" t="s">
        <v>106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customFormat="false" ht="27.75" hidden="false" customHeight="true" outlineLevel="0" collapsed="false">
      <c r="A2" s="7" t="s">
        <v>107</v>
      </c>
      <c r="B2" s="7" t="s">
        <v>108</v>
      </c>
      <c r="C2" s="7" t="s">
        <v>109</v>
      </c>
      <c r="D2" s="7" t="s">
        <v>110</v>
      </c>
      <c r="E2" s="7" t="s">
        <v>111</v>
      </c>
      <c r="F2" s="7" t="s">
        <v>112</v>
      </c>
      <c r="G2" s="7" t="s">
        <v>113</v>
      </c>
      <c r="H2" s="7" t="s">
        <v>114</v>
      </c>
      <c r="I2" s="7" t="s">
        <v>115</v>
      </c>
      <c r="J2" s="7" t="s">
        <v>72</v>
      </c>
      <c r="K2" s="7" t="s">
        <v>116</v>
      </c>
      <c r="L2" s="7" t="s">
        <v>117</v>
      </c>
      <c r="M2" s="7" t="s">
        <v>118</v>
      </c>
      <c r="N2" s="7" t="s">
        <v>119</v>
      </c>
      <c r="O2" s="7" t="s">
        <v>120</v>
      </c>
      <c r="P2" s="7" t="s">
        <v>121</v>
      </c>
      <c r="Q2" s="7" t="s">
        <v>122</v>
      </c>
      <c r="R2" s="7" t="s">
        <v>123</v>
      </c>
      <c r="S2" s="7" t="s">
        <v>124</v>
      </c>
      <c r="T2" s="7" t="s">
        <v>125</v>
      </c>
      <c r="U2" s="7" t="s">
        <v>126</v>
      </c>
      <c r="V2" s="7" t="s">
        <v>127</v>
      </c>
      <c r="W2" s="7" t="s">
        <v>128</v>
      </c>
      <c r="X2" s="7" t="s">
        <v>31</v>
      </c>
      <c r="Y2" s="7" t="s">
        <v>129</v>
      </c>
      <c r="Z2" s="7" t="s">
        <v>130</v>
      </c>
      <c r="AA2" s="7" t="s">
        <v>131</v>
      </c>
      <c r="AB2" s="7" t="s">
        <v>132</v>
      </c>
      <c r="AC2" s="7" t="s">
        <v>133</v>
      </c>
      <c r="AD2" s="7" t="s">
        <v>134</v>
      </c>
    </row>
    <row r="3" customFormat="false" ht="15" hidden="false" customHeight="false" outlineLevel="0" collapsed="false">
      <c r="A3" s="16" t="s">
        <v>135</v>
      </c>
      <c r="B3" s="17" t="s">
        <v>136</v>
      </c>
      <c r="C3" s="16" t="s">
        <v>137</v>
      </c>
      <c r="D3" s="18" t="s">
        <v>138</v>
      </c>
      <c r="E3" s="16" t="s">
        <v>139</v>
      </c>
      <c r="F3" s="16" t="s">
        <v>140</v>
      </c>
      <c r="G3" s="16" t="s">
        <v>141</v>
      </c>
      <c r="H3" s="15" t="n">
        <v>150</v>
      </c>
      <c r="I3" s="15" t="n">
        <v>8</v>
      </c>
      <c r="J3" s="15" t="n">
        <v>120</v>
      </c>
      <c r="K3" s="16" t="s">
        <v>142</v>
      </c>
      <c r="L3" s="15" t="n">
        <v>55</v>
      </c>
      <c r="M3" s="15" t="n">
        <v>7</v>
      </c>
      <c r="N3" s="15" t="n">
        <v>12</v>
      </c>
      <c r="O3" s="15" t="n">
        <v>6</v>
      </c>
      <c r="P3" s="15" t="n">
        <v>2</v>
      </c>
      <c r="Q3" s="15" t="n">
        <v>1</v>
      </c>
      <c r="R3" s="15" t="n">
        <v>4</v>
      </c>
      <c r="S3" s="19" t="n">
        <v>5.5</v>
      </c>
      <c r="T3" s="19" t="n">
        <v>1</v>
      </c>
      <c r="U3" s="18" t="s">
        <v>143</v>
      </c>
      <c r="V3" s="18" t="s">
        <v>144</v>
      </c>
      <c r="W3" s="18" t="s">
        <v>145</v>
      </c>
      <c r="X3" s="18" t="s">
        <v>146</v>
      </c>
      <c r="Y3" s="20" t="n">
        <f aca="false">IF(T3=0,0,N3/T3)</f>
        <v>12</v>
      </c>
      <c r="Z3" s="20" t="n">
        <f aca="false">IF(T3=0,0,P3/T3)</f>
        <v>2</v>
      </c>
      <c r="AA3" s="20" t="n">
        <f aca="false">IF(T3=0,0,Q3/T3)</f>
        <v>1</v>
      </c>
      <c r="AB3" s="20" t="n">
        <f aca="false">IF(J3=0,0,H3/J3)</f>
        <v>1.25</v>
      </c>
      <c r="AC3" s="20" t="str">
        <f aca="false">IF(E3="MBT",H3-MBTTargetCost,"")</f>
        <v/>
      </c>
      <c r="AD3" s="20" t="n">
        <f aca="false">IF(H3=0,0,((J3/10)+(Y3*3)+(Z3*8)+(AA3*6)+(S3*0.4))/(H3/1000)*(1+VetDmgBonus*0.3))</f>
        <v>517.433333333333</v>
      </c>
    </row>
    <row r="4" customFormat="false" ht="15" hidden="false" customHeight="false" outlineLevel="0" collapsed="false">
      <c r="A4" s="21" t="s">
        <v>147</v>
      </c>
      <c r="B4" s="22" t="s">
        <v>136</v>
      </c>
      <c r="C4" s="21" t="s">
        <v>137</v>
      </c>
      <c r="D4" s="23" t="s">
        <v>148</v>
      </c>
      <c r="E4" s="21" t="s">
        <v>149</v>
      </c>
      <c r="F4" s="21" t="s">
        <v>150</v>
      </c>
      <c r="G4" s="21" t="s">
        <v>141</v>
      </c>
      <c r="H4" s="15" t="n">
        <v>400</v>
      </c>
      <c r="I4" s="15" t="n">
        <v>12</v>
      </c>
      <c r="J4" s="15" t="n">
        <v>80</v>
      </c>
      <c r="K4" s="21" t="s">
        <v>142</v>
      </c>
      <c r="L4" s="15" t="n">
        <v>45</v>
      </c>
      <c r="M4" s="15" t="n">
        <v>8</v>
      </c>
      <c r="N4" s="15" t="n">
        <v>4</v>
      </c>
      <c r="O4" s="15" t="n">
        <v>18</v>
      </c>
      <c r="P4" s="15" t="n">
        <v>90</v>
      </c>
      <c r="Q4" s="15" t="n">
        <v>2</v>
      </c>
      <c r="R4" s="15" t="n">
        <v>8</v>
      </c>
      <c r="S4" s="19" t="n">
        <v>9</v>
      </c>
      <c r="T4" s="19" t="n">
        <v>4.5</v>
      </c>
      <c r="U4" s="23" t="s">
        <v>151</v>
      </c>
      <c r="V4" s="23" t="s">
        <v>152</v>
      </c>
      <c r="W4" s="23" t="s">
        <v>153</v>
      </c>
      <c r="X4" s="23" t="s">
        <v>154</v>
      </c>
      <c r="Y4" s="24" t="n">
        <f aca="false">IF(T4=0,0,N4/T4)</f>
        <v>0.888888888888889</v>
      </c>
      <c r="Z4" s="24" t="n">
        <f aca="false">IF(T4=0,0,P4/T4)</f>
        <v>20</v>
      </c>
      <c r="AA4" s="24" t="n">
        <f aca="false">IF(T4=0,0,Q4/T4)</f>
        <v>0.444444444444444</v>
      </c>
      <c r="AB4" s="24" t="n">
        <f aca="false">IF(J4=0,0,H4/J4)</f>
        <v>5</v>
      </c>
      <c r="AC4" s="24" t="str">
        <f aca="false">IF(E4="MBT",H4-MBTTargetCost,"")</f>
        <v/>
      </c>
      <c r="AD4" s="24" t="n">
        <f aca="false">IF(H4=0,0,((J4/10)+(Y4*3)+(Z4*8)+(AA4*6)+(S4*0.4))/(H4/1000)*(1+VetDmgBonus*0.3))</f>
        <v>475.508333333333</v>
      </c>
    </row>
    <row r="5" customFormat="false" ht="15" hidden="false" customHeight="false" outlineLevel="0" collapsed="false">
      <c r="A5" s="16" t="s">
        <v>155</v>
      </c>
      <c r="B5" s="17" t="s">
        <v>136</v>
      </c>
      <c r="C5" s="16" t="s">
        <v>137</v>
      </c>
      <c r="D5" s="18" t="s">
        <v>156</v>
      </c>
      <c r="E5" s="16" t="s">
        <v>157</v>
      </c>
      <c r="F5" s="16" t="s">
        <v>158</v>
      </c>
      <c r="G5" s="16" t="s">
        <v>141</v>
      </c>
      <c r="H5" s="15" t="n">
        <v>350</v>
      </c>
      <c r="I5" s="15" t="n">
        <v>12</v>
      </c>
      <c r="J5" s="15" t="n">
        <v>80</v>
      </c>
      <c r="K5" s="16" t="s">
        <v>142</v>
      </c>
      <c r="L5" s="15" t="n">
        <v>45</v>
      </c>
      <c r="M5" s="15" t="n">
        <v>9</v>
      </c>
      <c r="N5" s="15" t="n">
        <v>3</v>
      </c>
      <c r="O5" s="15" t="n">
        <v>4</v>
      </c>
      <c r="P5" s="15" t="n">
        <v>3</v>
      </c>
      <c r="Q5" s="15" t="n">
        <v>55</v>
      </c>
      <c r="R5" s="15" t="n">
        <v>5</v>
      </c>
      <c r="S5" s="19" t="n">
        <v>8</v>
      </c>
      <c r="T5" s="19" t="n">
        <v>5</v>
      </c>
      <c r="U5" s="18" t="s">
        <v>159</v>
      </c>
      <c r="V5" s="18" t="s">
        <v>160</v>
      </c>
      <c r="W5" s="18" t="s">
        <v>161</v>
      </c>
      <c r="X5" s="18" t="s">
        <v>146</v>
      </c>
      <c r="Y5" s="20" t="n">
        <f aca="false">IF(T5=0,0,N5/T5)</f>
        <v>0.6</v>
      </c>
      <c r="Z5" s="20" t="n">
        <f aca="false">IF(T5=0,0,P5/T5)</f>
        <v>0.6</v>
      </c>
      <c r="AA5" s="20" t="n">
        <f aca="false">IF(T5=0,0,Q5/T5)</f>
        <v>11</v>
      </c>
      <c r="AB5" s="20" t="n">
        <f aca="false">IF(J5=0,0,H5/J5)</f>
        <v>4.375</v>
      </c>
      <c r="AC5" s="20" t="str">
        <f aca="false">IF(E5="MBT",H5-MBTTargetCost,"")</f>
        <v/>
      </c>
      <c r="AD5" s="20" t="n">
        <f aca="false">IF(H5=0,0,((J5/10)+(Y5*3)+(Z5*8)+(AA5*6)+(S5*0.4))/(H5/1000)*(1+VetDmgBonus*0.3))</f>
        <v>257.385714285714</v>
      </c>
    </row>
    <row r="6" customFormat="false" ht="15" hidden="false" customHeight="false" outlineLevel="0" collapsed="false">
      <c r="A6" s="21" t="s">
        <v>162</v>
      </c>
      <c r="B6" s="22" t="s">
        <v>136</v>
      </c>
      <c r="C6" s="21" t="s">
        <v>137</v>
      </c>
      <c r="D6" s="23" t="s">
        <v>163</v>
      </c>
      <c r="E6" s="21" t="s">
        <v>163</v>
      </c>
      <c r="F6" s="21" t="s">
        <v>164</v>
      </c>
      <c r="G6" s="21" t="s">
        <v>141</v>
      </c>
      <c r="H6" s="15" t="n">
        <v>500</v>
      </c>
      <c r="I6" s="15" t="n">
        <v>10</v>
      </c>
      <c r="J6" s="15" t="n">
        <v>80</v>
      </c>
      <c r="K6" s="21" t="s">
        <v>142</v>
      </c>
      <c r="L6" s="15" t="n">
        <v>50</v>
      </c>
      <c r="M6" s="15" t="n">
        <v>6</v>
      </c>
      <c r="N6" s="15" t="n">
        <v>0</v>
      </c>
      <c r="O6" s="15" t="n">
        <v>0</v>
      </c>
      <c r="P6" s="15" t="n">
        <v>0</v>
      </c>
      <c r="Q6" s="15" t="n">
        <v>0</v>
      </c>
      <c r="R6" s="15" t="n">
        <v>0</v>
      </c>
      <c r="S6" s="19" t="n">
        <v>2</v>
      </c>
      <c r="T6" s="19" t="n">
        <v>0</v>
      </c>
      <c r="U6" s="23" t="s">
        <v>165</v>
      </c>
      <c r="V6" s="23" t="s">
        <v>166</v>
      </c>
      <c r="W6" s="23" t="s">
        <v>167</v>
      </c>
      <c r="X6" s="23" t="s">
        <v>146</v>
      </c>
      <c r="Y6" s="24" t="n">
        <f aca="false">IF(T6=0,0,N6/T6)</f>
        <v>0</v>
      </c>
      <c r="Z6" s="24" t="n">
        <f aca="false">IF(T6=0,0,P6/T6)</f>
        <v>0</v>
      </c>
      <c r="AA6" s="24" t="n">
        <f aca="false">IF(T6=0,0,Q6/T6)</f>
        <v>0</v>
      </c>
      <c r="AB6" s="24" t="n">
        <f aca="false">IF(J6=0,0,H6/J6)</f>
        <v>6.25</v>
      </c>
      <c r="AC6" s="24" t="str">
        <f aca="false">IF(E6="MBT",H6-MBTTargetCost,"")</f>
        <v/>
      </c>
      <c r="AD6" s="24" t="n">
        <f aca="false">IF(H6=0,0,((J6/10)+(Y6*3)+(Z6*8)+(AA6*6)+(S6*0.4))/(H6/1000)*(1+VetDmgBonus*0.3))</f>
        <v>18.92</v>
      </c>
    </row>
    <row r="7" customFormat="false" ht="15" hidden="false" customHeight="false" outlineLevel="0" collapsed="false">
      <c r="A7" s="16" t="s">
        <v>168</v>
      </c>
      <c r="B7" s="17" t="s">
        <v>136</v>
      </c>
      <c r="C7" s="16" t="s">
        <v>137</v>
      </c>
      <c r="D7" s="18" t="s">
        <v>169</v>
      </c>
      <c r="E7" s="16" t="s">
        <v>144</v>
      </c>
      <c r="F7" s="16" t="s">
        <v>170</v>
      </c>
      <c r="G7" s="16" t="s">
        <v>141</v>
      </c>
      <c r="H7" s="15" t="n">
        <v>700</v>
      </c>
      <c r="I7" s="15" t="n">
        <v>12</v>
      </c>
      <c r="J7" s="15" t="n">
        <v>380</v>
      </c>
      <c r="K7" s="16" t="s">
        <v>171</v>
      </c>
      <c r="L7" s="15" t="n">
        <v>70</v>
      </c>
      <c r="M7" s="15" t="n">
        <v>8</v>
      </c>
      <c r="N7" s="15" t="n">
        <v>22</v>
      </c>
      <c r="O7" s="15" t="n">
        <v>16</v>
      </c>
      <c r="P7" s="15" t="n">
        <v>22</v>
      </c>
      <c r="Q7" s="15" t="n">
        <v>8</v>
      </c>
      <c r="R7" s="15" t="n">
        <v>10</v>
      </c>
      <c r="S7" s="19" t="n">
        <v>6.5</v>
      </c>
      <c r="T7" s="19" t="n">
        <v>1.2</v>
      </c>
      <c r="U7" s="18" t="s">
        <v>172</v>
      </c>
      <c r="V7" s="18" t="s">
        <v>173</v>
      </c>
      <c r="W7" s="18" t="s">
        <v>174</v>
      </c>
      <c r="X7" s="18" t="s">
        <v>146</v>
      </c>
      <c r="Y7" s="20" t="n">
        <f aca="false">IF(T7=0,0,N7/T7)</f>
        <v>18.3333333333333</v>
      </c>
      <c r="Z7" s="20" t="n">
        <f aca="false">IF(T7=0,0,P7/T7)</f>
        <v>18.3333333333333</v>
      </c>
      <c r="AA7" s="20" t="n">
        <f aca="false">IF(T7=0,0,Q7/T7)</f>
        <v>6.66666666666667</v>
      </c>
      <c r="AB7" s="20" t="n">
        <f aca="false">IF(J7=0,0,H7/J7)</f>
        <v>1.84210526315789</v>
      </c>
      <c r="AC7" s="20" t="str">
        <f aca="false">IF(E7="MBT",H7-MBTTargetCost,"")</f>
        <v/>
      </c>
      <c r="AD7" s="20" t="n">
        <f aca="false">IF(H7=0,0,((J7/10)+(Y7*3)+(Z7*8)+(AA7*6)+(S7*0.4))/(H7/1000)*(1+VetDmgBonus*0.3))</f>
        <v>433.480952380952</v>
      </c>
    </row>
    <row r="8" customFormat="false" ht="15" hidden="false" customHeight="false" outlineLevel="0" collapsed="false">
      <c r="A8" s="21" t="s">
        <v>175</v>
      </c>
      <c r="B8" s="22" t="s">
        <v>136</v>
      </c>
      <c r="C8" s="21" t="s">
        <v>137</v>
      </c>
      <c r="D8" s="23" t="s">
        <v>176</v>
      </c>
      <c r="E8" s="21" t="s">
        <v>177</v>
      </c>
      <c r="F8" s="21" t="s">
        <v>178</v>
      </c>
      <c r="G8" s="21" t="s">
        <v>141</v>
      </c>
      <c r="H8" s="15" t="n">
        <v>1000</v>
      </c>
      <c r="I8" s="15" t="n">
        <v>14</v>
      </c>
      <c r="J8" s="15" t="n">
        <v>720</v>
      </c>
      <c r="K8" s="21" t="s">
        <v>179</v>
      </c>
      <c r="L8" s="15" t="n">
        <v>60</v>
      </c>
      <c r="M8" s="15" t="n">
        <v>8</v>
      </c>
      <c r="N8" s="15" t="n">
        <v>18</v>
      </c>
      <c r="O8" s="15" t="n">
        <v>28</v>
      </c>
      <c r="P8" s="15" t="n">
        <v>55</v>
      </c>
      <c r="Q8" s="15" t="n">
        <v>4</v>
      </c>
      <c r="R8" s="15" t="n">
        <v>16</v>
      </c>
      <c r="S8" s="19" t="n">
        <v>7</v>
      </c>
      <c r="T8" s="19" t="n">
        <v>2.2</v>
      </c>
      <c r="U8" s="23" t="s">
        <v>180</v>
      </c>
      <c r="V8" s="23" t="s">
        <v>181</v>
      </c>
      <c r="W8" s="23" t="s">
        <v>182</v>
      </c>
      <c r="X8" s="23" t="s">
        <v>146</v>
      </c>
      <c r="Y8" s="24" t="n">
        <f aca="false">IF(T8=0,0,N8/T8)</f>
        <v>8.18181818181818</v>
      </c>
      <c r="Z8" s="24" t="n">
        <f aca="false">IF(T8=0,0,P8/T8)</f>
        <v>25</v>
      </c>
      <c r="AA8" s="24" t="n">
        <f aca="false">IF(T8=0,0,Q8/T8)</f>
        <v>1.81818181818182</v>
      </c>
      <c r="AB8" s="24" t="n">
        <f aca="false">IF(J8=0,0,H8/J8)</f>
        <v>1.38888888888889</v>
      </c>
      <c r="AC8" s="24" t="str">
        <f aca="false">IF(E8="MBT",H8-MBTTargetCost,"")</f>
        <v/>
      </c>
      <c r="AD8" s="24" t="n">
        <f aca="false">IF(H8=0,0,((J8/10)+(Y8*3)+(Z8*8)+(AA8*6)+(S8*0.4))/(H8/1000)*(1+VetDmgBonus*0.3))</f>
        <v>333.523636363636</v>
      </c>
    </row>
    <row r="9" customFormat="false" ht="15" hidden="false" customHeight="false" outlineLevel="0" collapsed="false">
      <c r="A9" s="16" t="s">
        <v>183</v>
      </c>
      <c r="B9" s="17" t="s">
        <v>136</v>
      </c>
      <c r="C9" s="16" t="s">
        <v>137</v>
      </c>
      <c r="D9" s="18" t="s">
        <v>184</v>
      </c>
      <c r="E9" s="16" t="s">
        <v>185</v>
      </c>
      <c r="F9" s="16" t="s">
        <v>186</v>
      </c>
      <c r="G9" s="16" t="s">
        <v>141</v>
      </c>
      <c r="H9" s="15" t="n">
        <v>1550</v>
      </c>
      <c r="I9" s="15" t="n">
        <v>18</v>
      </c>
      <c r="J9" s="15" t="n">
        <v>1150</v>
      </c>
      <c r="K9" s="16" t="s">
        <v>179</v>
      </c>
      <c r="L9" s="15" t="n">
        <v>65</v>
      </c>
      <c r="M9" s="15" t="n">
        <v>8</v>
      </c>
      <c r="N9" s="15" t="n">
        <v>20</v>
      </c>
      <c r="O9" s="15" t="n">
        <v>32</v>
      </c>
      <c r="P9" s="15" t="n">
        <v>78</v>
      </c>
      <c r="Q9" s="15" t="n">
        <v>6</v>
      </c>
      <c r="R9" s="15" t="n">
        <v>22</v>
      </c>
      <c r="S9" s="19" t="n">
        <v>8</v>
      </c>
      <c r="T9" s="19" t="n">
        <v>2</v>
      </c>
      <c r="U9" s="18" t="s">
        <v>187</v>
      </c>
      <c r="V9" s="18" t="s">
        <v>188</v>
      </c>
      <c r="W9" s="18" t="s">
        <v>189</v>
      </c>
      <c r="X9" s="18" t="s">
        <v>146</v>
      </c>
      <c r="Y9" s="20" t="n">
        <f aca="false">IF(T9=0,0,N9/T9)</f>
        <v>10</v>
      </c>
      <c r="Z9" s="20" t="n">
        <f aca="false">IF(T9=0,0,P9/T9)</f>
        <v>39</v>
      </c>
      <c r="AA9" s="20" t="n">
        <f aca="false">IF(T9=0,0,Q9/T9)</f>
        <v>3</v>
      </c>
      <c r="AB9" s="20" t="n">
        <f aca="false">IF(J9=0,0,H9/J9)</f>
        <v>1.34782608695652</v>
      </c>
      <c r="AC9" s="20" t="n">
        <f aca="false">IF(E9="MBT",H9-MBTTargetCost,"")</f>
        <v>50</v>
      </c>
      <c r="AD9" s="20" t="n">
        <f aca="false">IF(H9=0,0,((J9/10)+(Y9*3)+(Z9*8)+(AA9*6)+(S9*0.4))/(H9/1000)*(1+VetDmgBonus*0.3))</f>
        <v>331.654838709677</v>
      </c>
    </row>
    <row r="10" customFormat="false" ht="15" hidden="false" customHeight="false" outlineLevel="0" collapsed="false">
      <c r="A10" s="21" t="s">
        <v>190</v>
      </c>
      <c r="B10" s="22" t="s">
        <v>136</v>
      </c>
      <c r="C10" s="21" t="s">
        <v>137</v>
      </c>
      <c r="D10" s="23" t="s">
        <v>191</v>
      </c>
      <c r="E10" s="21" t="s">
        <v>192</v>
      </c>
      <c r="F10" s="21" t="s">
        <v>160</v>
      </c>
      <c r="G10" s="21" t="s">
        <v>141</v>
      </c>
      <c r="H10" s="15" t="n">
        <v>1200</v>
      </c>
      <c r="I10" s="15" t="n">
        <v>16</v>
      </c>
      <c r="J10" s="15" t="n">
        <v>420</v>
      </c>
      <c r="K10" s="21" t="s">
        <v>171</v>
      </c>
      <c r="L10" s="15" t="n">
        <v>55</v>
      </c>
      <c r="M10" s="15" t="n">
        <v>10</v>
      </c>
      <c r="N10" s="15" t="n">
        <v>35</v>
      </c>
      <c r="O10" s="15" t="n">
        <v>40</v>
      </c>
      <c r="P10" s="15" t="n">
        <v>45</v>
      </c>
      <c r="Q10" s="15" t="n">
        <v>8</v>
      </c>
      <c r="R10" s="15" t="n">
        <v>95</v>
      </c>
      <c r="S10" s="19" t="n">
        <v>14</v>
      </c>
      <c r="T10" s="19" t="n">
        <v>6</v>
      </c>
      <c r="U10" s="23" t="s">
        <v>193</v>
      </c>
      <c r="V10" s="23" t="s">
        <v>194</v>
      </c>
      <c r="W10" s="23" t="s">
        <v>195</v>
      </c>
      <c r="X10" s="23" t="s">
        <v>146</v>
      </c>
      <c r="Y10" s="24" t="n">
        <f aca="false">IF(T10=0,0,N10/T10)</f>
        <v>5.83333333333333</v>
      </c>
      <c r="Z10" s="24" t="n">
        <f aca="false">IF(T10=0,0,P10/T10)</f>
        <v>7.5</v>
      </c>
      <c r="AA10" s="24" t="n">
        <f aca="false">IF(T10=0,0,Q10/T10)</f>
        <v>1.33333333333333</v>
      </c>
      <c r="AB10" s="24" t="n">
        <f aca="false">IF(J10=0,0,H10/J10)</f>
        <v>2.85714285714286</v>
      </c>
      <c r="AC10" s="24" t="str">
        <f aca="false">IF(E10="MBT",H10-MBTTargetCost,"")</f>
        <v/>
      </c>
      <c r="AD10" s="24" t="n">
        <f aca="false">IF(H10=0,0,((J10/10)+(Y10*3)+(Z10*8)+(AA10*6)+(S10*0.4))/(H10/1000)*(1+VetDmgBonus*0.3))</f>
        <v>119.235416666667</v>
      </c>
    </row>
    <row r="11" customFormat="false" ht="15" hidden="false" customHeight="false" outlineLevel="0" collapsed="false">
      <c r="A11" s="16" t="s">
        <v>196</v>
      </c>
      <c r="B11" s="17" t="s">
        <v>136</v>
      </c>
      <c r="C11" s="16" t="s">
        <v>137</v>
      </c>
      <c r="D11" s="18" t="s">
        <v>197</v>
      </c>
      <c r="E11" s="16" t="s">
        <v>198</v>
      </c>
      <c r="F11" s="16" t="s">
        <v>199</v>
      </c>
      <c r="G11" s="16" t="s">
        <v>200</v>
      </c>
      <c r="H11" s="15" t="n">
        <v>1600</v>
      </c>
      <c r="I11" s="15" t="n">
        <v>18</v>
      </c>
      <c r="J11" s="15" t="n">
        <v>380</v>
      </c>
      <c r="K11" s="16" t="s">
        <v>200</v>
      </c>
      <c r="L11" s="15" t="n">
        <v>95</v>
      </c>
      <c r="M11" s="15" t="n">
        <v>10</v>
      </c>
      <c r="N11" s="15" t="n">
        <v>10</v>
      </c>
      <c r="O11" s="15" t="n">
        <v>20</v>
      </c>
      <c r="P11" s="15" t="n">
        <v>85</v>
      </c>
      <c r="Q11" s="15" t="n">
        <v>8</v>
      </c>
      <c r="R11" s="15" t="n">
        <v>8</v>
      </c>
      <c r="S11" s="19" t="n">
        <v>8</v>
      </c>
      <c r="T11" s="19" t="n">
        <v>3</v>
      </c>
      <c r="U11" s="18" t="s">
        <v>201</v>
      </c>
      <c r="V11" s="18" t="s">
        <v>202</v>
      </c>
      <c r="W11" s="18" t="s">
        <v>203</v>
      </c>
      <c r="X11" s="18" t="s">
        <v>146</v>
      </c>
      <c r="Y11" s="20" t="n">
        <f aca="false">IF(T11=0,0,N11/T11)</f>
        <v>3.33333333333333</v>
      </c>
      <c r="Z11" s="20" t="n">
        <f aca="false">IF(T11=0,0,P11/T11)</f>
        <v>28.3333333333333</v>
      </c>
      <c r="AA11" s="20" t="n">
        <f aca="false">IF(T11=0,0,Q11/T11)</f>
        <v>2.66666666666667</v>
      </c>
      <c r="AB11" s="20" t="n">
        <f aca="false">IF(J11=0,0,H11/J11)</f>
        <v>4.21052631578947</v>
      </c>
      <c r="AC11" s="20" t="str">
        <f aca="false">IF(E11="MBT",H11-MBTTargetCost,"")</f>
        <v/>
      </c>
      <c r="AD11" s="20" t="n">
        <f aca="false">IF(H11=0,0,((J11/10)+(Y11*3)+(Z11*8)+(AA11*6)+(S11*0.4))/(H11/1000)*(1+VetDmgBonus*0.3))</f>
        <v>197.441666666667</v>
      </c>
    </row>
    <row r="12" customFormat="false" ht="15" hidden="false" customHeight="false" outlineLevel="0" collapsed="false">
      <c r="A12" s="21" t="s">
        <v>204</v>
      </c>
      <c r="B12" s="22" t="s">
        <v>136</v>
      </c>
      <c r="C12" s="21" t="s">
        <v>137</v>
      </c>
      <c r="D12" s="23" t="s">
        <v>205</v>
      </c>
      <c r="E12" s="21" t="s">
        <v>206</v>
      </c>
      <c r="F12" s="21" t="s">
        <v>207</v>
      </c>
      <c r="G12" s="21" t="s">
        <v>200</v>
      </c>
      <c r="H12" s="15" t="n">
        <v>1600</v>
      </c>
      <c r="I12" s="15" t="n">
        <v>20</v>
      </c>
      <c r="J12" s="15" t="n">
        <v>320</v>
      </c>
      <c r="K12" s="21" t="s">
        <v>200</v>
      </c>
      <c r="L12" s="15" t="n">
        <v>130</v>
      </c>
      <c r="M12" s="15" t="n">
        <v>12</v>
      </c>
      <c r="N12" s="15" t="n">
        <v>8</v>
      </c>
      <c r="O12" s="15" t="n">
        <v>14</v>
      </c>
      <c r="P12" s="15" t="n">
        <v>40</v>
      </c>
      <c r="Q12" s="15" t="n">
        <v>55</v>
      </c>
      <c r="R12" s="15" t="n">
        <v>18</v>
      </c>
      <c r="S12" s="19" t="n">
        <v>12</v>
      </c>
      <c r="T12" s="19" t="n">
        <v>3.5</v>
      </c>
      <c r="U12" s="23" t="s">
        <v>208</v>
      </c>
      <c r="V12" s="23" t="s">
        <v>209</v>
      </c>
      <c r="W12" s="23" t="s">
        <v>210</v>
      </c>
      <c r="X12" s="23" t="s">
        <v>146</v>
      </c>
      <c r="Y12" s="24" t="n">
        <f aca="false">IF(T12=0,0,N12/T12)</f>
        <v>2.28571428571429</v>
      </c>
      <c r="Z12" s="24" t="n">
        <f aca="false">IF(T12=0,0,P12/T12)</f>
        <v>11.4285714285714</v>
      </c>
      <c r="AA12" s="24" t="n">
        <f aca="false">IF(T12=0,0,Q12/T12)</f>
        <v>15.7142857142857</v>
      </c>
      <c r="AB12" s="24" t="n">
        <f aca="false">IF(J12=0,0,H12/J12)</f>
        <v>5</v>
      </c>
      <c r="AC12" s="24" t="str">
        <f aca="false">IF(E12="MBT",H12-MBTTargetCost,"")</f>
        <v/>
      </c>
      <c r="AD12" s="24" t="n">
        <f aca="false">IF(H12=0,0,((J12/10)+(Y12*3)+(Z12*8)+(AA12*6)+(S12*0.4))/(H12/1000)*(1+VetDmgBonus*0.3))</f>
        <v>154.108928571429</v>
      </c>
    </row>
    <row r="13" customFormat="false" ht="15" hidden="false" customHeight="false" outlineLevel="0" collapsed="false">
      <c r="A13" s="16" t="s">
        <v>211</v>
      </c>
      <c r="B13" s="17" t="s">
        <v>136</v>
      </c>
      <c r="C13" s="16" t="s">
        <v>212</v>
      </c>
      <c r="D13" s="18" t="s">
        <v>213</v>
      </c>
      <c r="E13" s="16" t="s">
        <v>214</v>
      </c>
      <c r="F13" s="16" t="s">
        <v>215</v>
      </c>
      <c r="G13" s="16" t="s">
        <v>141</v>
      </c>
      <c r="H13" s="15" t="n">
        <v>700</v>
      </c>
      <c r="I13" s="15" t="n">
        <v>16</v>
      </c>
      <c r="J13" s="15" t="n">
        <v>140</v>
      </c>
      <c r="K13" s="16" t="s">
        <v>142</v>
      </c>
      <c r="L13" s="15" t="n">
        <v>65</v>
      </c>
      <c r="M13" s="15" t="n">
        <v>8</v>
      </c>
      <c r="N13" s="15" t="n">
        <v>18</v>
      </c>
      <c r="O13" s="15" t="n">
        <v>14</v>
      </c>
      <c r="P13" s="15" t="n">
        <v>25</v>
      </c>
      <c r="Q13" s="15" t="n">
        <v>4</v>
      </c>
      <c r="R13" s="15" t="n">
        <v>10</v>
      </c>
      <c r="S13" s="19" t="n">
        <v>5</v>
      </c>
      <c r="T13" s="19" t="n">
        <v>1.4</v>
      </c>
      <c r="U13" s="18" t="s">
        <v>216</v>
      </c>
      <c r="V13" s="18" t="s">
        <v>217</v>
      </c>
      <c r="W13" s="18" t="s">
        <v>218</v>
      </c>
      <c r="X13" s="18"/>
      <c r="Y13" s="20" t="n">
        <f aca="false">IF(T13=0,0,N13/T13)</f>
        <v>12.8571428571429</v>
      </c>
      <c r="Z13" s="20" t="n">
        <f aca="false">IF(T13=0,0,P13/T13)</f>
        <v>17.8571428571429</v>
      </c>
      <c r="AA13" s="20" t="n">
        <f aca="false">IF(T13=0,0,Q13/T13)</f>
        <v>2.85714285714286</v>
      </c>
      <c r="AB13" s="20" t="n">
        <f aca="false">IF(J13=0,0,H13/J13)</f>
        <v>5</v>
      </c>
      <c r="AC13" s="20" t="str">
        <f aca="false">IF(E13="MBT",H13-MBTTargetCost,"")</f>
        <v/>
      </c>
      <c r="AD13" s="20" t="n">
        <f aca="false">IF(H13=0,0,((J13/10)+(Y13*3)+(Z13*8)+(AA13*6)+(S13*0.4))/(H13/1000)*(1+VetDmgBonus*0.3))</f>
        <v>329.520408163265</v>
      </c>
    </row>
    <row r="14" customFormat="false" ht="15" hidden="false" customHeight="false" outlineLevel="0" collapsed="false">
      <c r="A14" s="21" t="s">
        <v>219</v>
      </c>
      <c r="B14" s="22" t="s">
        <v>136</v>
      </c>
      <c r="C14" s="21" t="s">
        <v>212</v>
      </c>
      <c r="D14" s="23" t="s">
        <v>220</v>
      </c>
      <c r="E14" s="21" t="s">
        <v>221</v>
      </c>
      <c r="F14" s="21" t="s">
        <v>222</v>
      </c>
      <c r="G14" s="21" t="s">
        <v>141</v>
      </c>
      <c r="H14" s="15" t="n">
        <v>500</v>
      </c>
      <c r="I14" s="15" t="n">
        <v>10</v>
      </c>
      <c r="J14" s="15" t="n">
        <v>280</v>
      </c>
      <c r="K14" s="21" t="s">
        <v>223</v>
      </c>
      <c r="L14" s="15" t="n">
        <v>80</v>
      </c>
      <c r="M14" s="15" t="n">
        <v>7</v>
      </c>
      <c r="N14" s="15" t="n">
        <v>14</v>
      </c>
      <c r="O14" s="15" t="n">
        <v>8</v>
      </c>
      <c r="P14" s="15" t="n">
        <v>4</v>
      </c>
      <c r="Q14" s="15" t="n">
        <v>2</v>
      </c>
      <c r="R14" s="15" t="n">
        <v>6</v>
      </c>
      <c r="S14" s="19" t="n">
        <v>6</v>
      </c>
      <c r="T14" s="19" t="n">
        <v>1.1</v>
      </c>
      <c r="U14" s="23" t="s">
        <v>224</v>
      </c>
      <c r="V14" s="23" t="s">
        <v>225</v>
      </c>
      <c r="W14" s="23" t="s">
        <v>226</v>
      </c>
      <c r="X14" s="23"/>
      <c r="Y14" s="24" t="n">
        <f aca="false">IF(T14=0,0,N14/T14)</f>
        <v>12.7272727272727</v>
      </c>
      <c r="Z14" s="24" t="n">
        <f aca="false">IF(T14=0,0,P14/T14)</f>
        <v>3.63636363636364</v>
      </c>
      <c r="AA14" s="24" t="n">
        <f aca="false">IF(T14=0,0,Q14/T14)</f>
        <v>1.81818181818182</v>
      </c>
      <c r="AB14" s="24" t="n">
        <f aca="false">IF(J14=0,0,H14/J14)</f>
        <v>1.78571428571429</v>
      </c>
      <c r="AC14" s="24" t="str">
        <f aca="false">IF(E14="MBT",H14-MBTTargetCost,"")</f>
        <v/>
      </c>
      <c r="AD14" s="24" t="n">
        <f aca="false">IF(H14=0,0,((J14/10)+(Y14*3)+(Z14*8)+(AA14*6)+(S14*0.4))/(H14/1000)*(1+VetDmgBonus*0.3))</f>
        <v>233.450909090909</v>
      </c>
    </row>
    <row r="15" customFormat="false" ht="15" hidden="false" customHeight="false" outlineLevel="0" collapsed="false">
      <c r="A15" s="16" t="s">
        <v>227</v>
      </c>
      <c r="B15" s="17" t="s">
        <v>136</v>
      </c>
      <c r="C15" s="16" t="s">
        <v>212</v>
      </c>
      <c r="D15" s="18" t="s">
        <v>228</v>
      </c>
      <c r="E15" s="16" t="s">
        <v>185</v>
      </c>
      <c r="F15" s="16" t="s">
        <v>229</v>
      </c>
      <c r="G15" s="16" t="s">
        <v>141</v>
      </c>
      <c r="H15" s="15" t="n">
        <v>1750</v>
      </c>
      <c r="I15" s="15" t="n">
        <v>22</v>
      </c>
      <c r="J15" s="15" t="n">
        <v>1250</v>
      </c>
      <c r="K15" s="16" t="s">
        <v>179</v>
      </c>
      <c r="L15" s="15" t="n">
        <v>62</v>
      </c>
      <c r="M15" s="15" t="n">
        <v>8</v>
      </c>
      <c r="N15" s="15" t="n">
        <v>20</v>
      </c>
      <c r="O15" s="15" t="n">
        <v>34</v>
      </c>
      <c r="P15" s="15" t="n">
        <v>82</v>
      </c>
      <c r="Q15" s="15" t="n">
        <v>6</v>
      </c>
      <c r="R15" s="15" t="n">
        <v>22</v>
      </c>
      <c r="S15" s="19" t="n">
        <v>8</v>
      </c>
      <c r="T15" s="19" t="n">
        <v>2</v>
      </c>
      <c r="U15" s="18" t="s">
        <v>230</v>
      </c>
      <c r="V15" s="18" t="s">
        <v>231</v>
      </c>
      <c r="W15" s="18" t="s">
        <v>232</v>
      </c>
      <c r="X15" s="18" t="s">
        <v>233</v>
      </c>
      <c r="Y15" s="20" t="n">
        <f aca="false">IF(T15=0,0,N15/T15)</f>
        <v>10</v>
      </c>
      <c r="Z15" s="20" t="n">
        <f aca="false">IF(T15=0,0,P15/T15)</f>
        <v>41</v>
      </c>
      <c r="AA15" s="20" t="n">
        <f aca="false">IF(T15=0,0,Q15/T15)</f>
        <v>3</v>
      </c>
      <c r="AB15" s="20" t="n">
        <f aca="false">IF(J15=0,0,H15/J15)</f>
        <v>1.4</v>
      </c>
      <c r="AC15" s="20" t="n">
        <f aca="false">IF(E15="MBT",H15-MBTTargetCost,"")</f>
        <v>250</v>
      </c>
      <c r="AD15" s="20" t="n">
        <f aca="false">IF(H15=0,0,((J15/10)+(Y15*3)+(Z15*8)+(AA15*6)+(S15*0.4))/(H15/1000)*(1+VetDmgBonus*0.3))</f>
        <v>309.722857142857</v>
      </c>
    </row>
    <row r="16" customFormat="false" ht="15" hidden="false" customHeight="false" outlineLevel="0" collapsed="false">
      <c r="A16" s="21" t="s">
        <v>234</v>
      </c>
      <c r="B16" s="22" t="s">
        <v>136</v>
      </c>
      <c r="C16" s="21" t="s">
        <v>212</v>
      </c>
      <c r="D16" s="23" t="s">
        <v>235</v>
      </c>
      <c r="E16" s="21" t="s">
        <v>236</v>
      </c>
      <c r="F16" s="21" t="s">
        <v>237</v>
      </c>
      <c r="G16" s="21" t="s">
        <v>141</v>
      </c>
      <c r="H16" s="15" t="n">
        <v>1100</v>
      </c>
      <c r="I16" s="15" t="n">
        <v>16</v>
      </c>
      <c r="J16" s="15" t="n">
        <v>360</v>
      </c>
      <c r="K16" s="21" t="s">
        <v>223</v>
      </c>
      <c r="L16" s="15" t="n">
        <v>60</v>
      </c>
      <c r="M16" s="15" t="n">
        <v>9</v>
      </c>
      <c r="N16" s="15" t="n">
        <v>50</v>
      </c>
      <c r="O16" s="15" t="n">
        <v>40</v>
      </c>
      <c r="P16" s="15" t="n">
        <v>30</v>
      </c>
      <c r="Q16" s="15" t="n">
        <v>6</v>
      </c>
      <c r="R16" s="15" t="n">
        <v>70</v>
      </c>
      <c r="S16" s="19" t="n">
        <v>16</v>
      </c>
      <c r="T16" s="19" t="n">
        <v>8</v>
      </c>
      <c r="U16" s="23" t="s">
        <v>238</v>
      </c>
      <c r="V16" s="23" t="s">
        <v>200</v>
      </c>
      <c r="W16" s="23" t="s">
        <v>239</v>
      </c>
      <c r="X16" s="23" t="s">
        <v>240</v>
      </c>
      <c r="Y16" s="24" t="n">
        <f aca="false">IF(T16=0,0,N16/T16)</f>
        <v>6.25</v>
      </c>
      <c r="Z16" s="24" t="n">
        <f aca="false">IF(T16=0,0,P16/T16)</f>
        <v>3.75</v>
      </c>
      <c r="AA16" s="24" t="n">
        <f aca="false">IF(T16=0,0,Q16/T16)</f>
        <v>0.75</v>
      </c>
      <c r="AB16" s="24" t="n">
        <f aca="false">IF(J16=0,0,H16/J16)</f>
        <v>3.05555555555556</v>
      </c>
      <c r="AC16" s="24" t="str">
        <f aca="false">IF(E16="MBT",H16-MBTTargetCost,"")</f>
        <v/>
      </c>
      <c r="AD16" s="24" t="n">
        <f aca="false">IF(H16=0,0,((J16/10)+(Y16*3)+(Z16*8)+(AA16*6)+(S16*0.4))/(H16/1000)*(1+VetDmgBonus*0.3))</f>
        <v>93.4761363636364</v>
      </c>
    </row>
    <row r="17" customFormat="false" ht="15" hidden="false" customHeight="false" outlineLevel="0" collapsed="false">
      <c r="A17" s="16" t="s">
        <v>241</v>
      </c>
      <c r="B17" s="17" t="s">
        <v>136</v>
      </c>
      <c r="C17" s="16" t="s">
        <v>212</v>
      </c>
      <c r="D17" s="18" t="s">
        <v>242</v>
      </c>
      <c r="E17" s="16" t="s">
        <v>198</v>
      </c>
      <c r="F17" s="16" t="s">
        <v>243</v>
      </c>
      <c r="G17" s="16" t="s">
        <v>200</v>
      </c>
      <c r="H17" s="15" t="n">
        <v>1750</v>
      </c>
      <c r="I17" s="15" t="n">
        <v>20</v>
      </c>
      <c r="J17" s="15" t="n">
        <v>430</v>
      </c>
      <c r="K17" s="16" t="s">
        <v>200</v>
      </c>
      <c r="L17" s="15" t="n">
        <v>90</v>
      </c>
      <c r="M17" s="15" t="n">
        <v>10</v>
      </c>
      <c r="N17" s="15" t="n">
        <v>12</v>
      </c>
      <c r="O17" s="15" t="n">
        <v>22</v>
      </c>
      <c r="P17" s="15" t="n">
        <v>92</v>
      </c>
      <c r="Q17" s="15" t="n">
        <v>10</v>
      </c>
      <c r="R17" s="15" t="n">
        <v>8</v>
      </c>
      <c r="S17" s="19" t="n">
        <v>8.5</v>
      </c>
      <c r="T17" s="19" t="n">
        <v>2.8</v>
      </c>
      <c r="U17" s="18" t="s">
        <v>244</v>
      </c>
      <c r="V17" s="18" t="s">
        <v>245</v>
      </c>
      <c r="W17" s="18" t="s">
        <v>246</v>
      </c>
      <c r="X17" s="18"/>
      <c r="Y17" s="20" t="n">
        <f aca="false">IF(T17=0,0,N17/T17)</f>
        <v>4.28571428571429</v>
      </c>
      <c r="Z17" s="20" t="n">
        <f aca="false">IF(T17=0,0,P17/T17)</f>
        <v>32.8571428571429</v>
      </c>
      <c r="AA17" s="20" t="n">
        <f aca="false">IF(T17=0,0,Q17/T17)</f>
        <v>3.57142857142857</v>
      </c>
      <c r="AB17" s="20" t="n">
        <f aca="false">IF(J17=0,0,H17/J17)</f>
        <v>4.06976744186047</v>
      </c>
      <c r="AC17" s="20" t="str">
        <f aca="false">IF(E17="MBT",H17-MBTTargetCost,"")</f>
        <v/>
      </c>
      <c r="AD17" s="20" t="n">
        <f aca="false">IF(H17=0,0,((J17/10)+(Y17*3)+(Z17*8)+(AA17*6)+(S17*0.4))/(H17/1000)*(1+VetDmgBonus*0.3))</f>
        <v>211.033469387755</v>
      </c>
    </row>
    <row r="18" customFormat="false" ht="15" hidden="false" customHeight="false" outlineLevel="0" collapsed="false">
      <c r="A18" s="21" t="s">
        <v>247</v>
      </c>
      <c r="B18" s="22" t="s">
        <v>136</v>
      </c>
      <c r="C18" s="21" t="s">
        <v>212</v>
      </c>
      <c r="D18" s="23" t="s">
        <v>248</v>
      </c>
      <c r="E18" s="21" t="s">
        <v>206</v>
      </c>
      <c r="F18" s="21" t="s">
        <v>249</v>
      </c>
      <c r="G18" s="21" t="s">
        <v>200</v>
      </c>
      <c r="H18" s="15" t="n">
        <v>2000</v>
      </c>
      <c r="I18" s="15" t="n">
        <v>24</v>
      </c>
      <c r="J18" s="15" t="n">
        <v>360</v>
      </c>
      <c r="K18" s="21" t="s">
        <v>200</v>
      </c>
      <c r="L18" s="15" t="n">
        <v>135</v>
      </c>
      <c r="M18" s="15" t="n">
        <v>12</v>
      </c>
      <c r="N18" s="15" t="n">
        <v>10</v>
      </c>
      <c r="O18" s="15" t="n">
        <v>16</v>
      </c>
      <c r="P18" s="15" t="n">
        <v>48</v>
      </c>
      <c r="Q18" s="15" t="n">
        <v>62</v>
      </c>
      <c r="R18" s="15" t="n">
        <v>22</v>
      </c>
      <c r="S18" s="19" t="n">
        <v>13</v>
      </c>
      <c r="T18" s="19" t="n">
        <v>3.2</v>
      </c>
      <c r="U18" s="23" t="s">
        <v>250</v>
      </c>
      <c r="V18" s="23" t="s">
        <v>251</v>
      </c>
      <c r="W18" s="23" t="s">
        <v>252</v>
      </c>
      <c r="X18" s="23"/>
      <c r="Y18" s="24" t="n">
        <f aca="false">IF(T18=0,0,N18/T18)</f>
        <v>3.125</v>
      </c>
      <c r="Z18" s="24" t="n">
        <f aca="false">IF(T18=0,0,P18/T18)</f>
        <v>15</v>
      </c>
      <c r="AA18" s="24" t="n">
        <f aca="false">IF(T18=0,0,Q18/T18)</f>
        <v>19.375</v>
      </c>
      <c r="AB18" s="24" t="n">
        <f aca="false">IF(J18=0,0,H18/J18)</f>
        <v>5.55555555555556</v>
      </c>
      <c r="AC18" s="24" t="str">
        <f aca="false">IF(E18="MBT",H18-MBTTargetCost,"")</f>
        <v/>
      </c>
      <c r="AD18" s="24" t="n">
        <f aca="false">IF(H18=0,0,((J18/10)+(Y18*3)+(Z18*8)+(AA18*6)+(S18*0.4))/(H18/1000)*(1+VetDmgBonus*0.3))</f>
        <v>154.1684375</v>
      </c>
    </row>
    <row r="19" customFormat="false" ht="15" hidden="false" customHeight="false" outlineLevel="0" collapsed="false">
      <c r="A19" s="16" t="s">
        <v>253</v>
      </c>
      <c r="B19" s="17" t="s">
        <v>136</v>
      </c>
      <c r="C19" s="16" t="s">
        <v>212</v>
      </c>
      <c r="D19" s="18" t="s">
        <v>254</v>
      </c>
      <c r="E19" s="16" t="s">
        <v>206</v>
      </c>
      <c r="F19" s="16" t="s">
        <v>255</v>
      </c>
      <c r="G19" s="16" t="s">
        <v>200</v>
      </c>
      <c r="H19" s="15" t="n">
        <v>1500</v>
      </c>
      <c r="I19" s="15" t="n">
        <v>18</v>
      </c>
      <c r="J19" s="15" t="n">
        <v>300</v>
      </c>
      <c r="K19" s="16" t="s">
        <v>200</v>
      </c>
      <c r="L19" s="15" t="n">
        <v>140</v>
      </c>
      <c r="M19" s="15" t="n">
        <v>11</v>
      </c>
      <c r="N19" s="15" t="n">
        <v>6</v>
      </c>
      <c r="O19" s="15" t="n">
        <v>10</v>
      </c>
      <c r="P19" s="15" t="n">
        <v>28</v>
      </c>
      <c r="Q19" s="15" t="n">
        <v>58</v>
      </c>
      <c r="R19" s="15" t="n">
        <v>10</v>
      </c>
      <c r="S19" s="19" t="n">
        <v>11</v>
      </c>
      <c r="T19" s="19" t="n">
        <v>3</v>
      </c>
      <c r="U19" s="18" t="s">
        <v>256</v>
      </c>
      <c r="V19" s="18" t="s">
        <v>257</v>
      </c>
      <c r="W19" s="18" t="s">
        <v>258</v>
      </c>
      <c r="X19" s="18"/>
      <c r="Y19" s="20" t="n">
        <f aca="false">IF(T19=0,0,N19/T19)</f>
        <v>2</v>
      </c>
      <c r="Z19" s="20" t="n">
        <f aca="false">IF(T19=0,0,P19/T19)</f>
        <v>9.33333333333333</v>
      </c>
      <c r="AA19" s="20" t="n">
        <f aca="false">IF(T19=0,0,Q19/T19)</f>
        <v>19.3333333333333</v>
      </c>
      <c r="AB19" s="20" t="n">
        <f aca="false">IF(J19=0,0,H19/J19)</f>
        <v>5</v>
      </c>
      <c r="AC19" s="20" t="str">
        <f aca="false">IF(E19="MBT",H19-MBTTargetCost,"")</f>
        <v/>
      </c>
      <c r="AD19" s="20" t="n">
        <f aca="false">IF(H19=0,0,((J19/10)+(Y19*3)+(Z19*8)+(AA19*6)+(S19*0.4))/(H19/1000)*(1+VetDmgBonus*0.3))</f>
        <v>165.597777777778</v>
      </c>
    </row>
    <row r="20" customFormat="false" ht="15" hidden="false" customHeight="false" outlineLevel="0" collapsed="false">
      <c r="A20" s="21" t="s">
        <v>259</v>
      </c>
      <c r="B20" s="22" t="s">
        <v>136</v>
      </c>
      <c r="C20" s="21" t="s">
        <v>212</v>
      </c>
      <c r="D20" s="23" t="s">
        <v>260</v>
      </c>
      <c r="E20" s="21" t="s">
        <v>261</v>
      </c>
      <c r="F20" s="21" t="s">
        <v>262</v>
      </c>
      <c r="G20" s="21" t="s">
        <v>263</v>
      </c>
      <c r="H20" s="15" t="n">
        <v>1300</v>
      </c>
      <c r="I20" s="15" t="n">
        <v>18</v>
      </c>
      <c r="J20" s="15" t="n">
        <v>500</v>
      </c>
      <c r="K20" s="21" t="s">
        <v>261</v>
      </c>
      <c r="L20" s="15" t="n">
        <v>85</v>
      </c>
      <c r="M20" s="15" t="n">
        <v>10</v>
      </c>
      <c r="N20" s="15" t="n">
        <v>20</v>
      </c>
      <c r="O20" s="15" t="n">
        <v>25</v>
      </c>
      <c r="P20" s="15" t="n">
        <v>30</v>
      </c>
      <c r="Q20" s="15" t="n">
        <v>20</v>
      </c>
      <c r="R20" s="15" t="n">
        <v>40</v>
      </c>
      <c r="S20" s="19" t="n">
        <v>10</v>
      </c>
      <c r="T20" s="19" t="n">
        <v>3</v>
      </c>
      <c r="U20" s="23" t="s">
        <v>264</v>
      </c>
      <c r="V20" s="23" t="s">
        <v>265</v>
      </c>
      <c r="W20" s="23" t="s">
        <v>266</v>
      </c>
      <c r="X20" s="23"/>
      <c r="Y20" s="24" t="n">
        <f aca="false">IF(T20=0,0,N20/T20)</f>
        <v>6.66666666666667</v>
      </c>
      <c r="Z20" s="24" t="n">
        <f aca="false">IF(T20=0,0,P20/T20)</f>
        <v>10</v>
      </c>
      <c r="AA20" s="24" t="n">
        <f aca="false">IF(T20=0,0,Q20/T20)</f>
        <v>6.66666666666667</v>
      </c>
      <c r="AB20" s="24" t="n">
        <f aca="false">IF(J20=0,0,H20/J20)</f>
        <v>2.6</v>
      </c>
      <c r="AC20" s="24" t="str">
        <f aca="false">IF(E20="MBT",H20-MBTTargetCost,"")</f>
        <v/>
      </c>
      <c r="AD20" s="24" t="n">
        <f aca="false">IF(H20=0,0,((J20/10)+(Y20*3)+(Z20*8)+(AA20*6)+(S20*0.4))/(H20/1000)*(1+VetDmgBonus*0.3))</f>
        <v>160.423076923077</v>
      </c>
    </row>
    <row r="21" customFormat="false" ht="15" hidden="false" customHeight="false" outlineLevel="0" collapsed="false">
      <c r="A21" s="16" t="s">
        <v>267</v>
      </c>
      <c r="B21" s="17" t="s">
        <v>136</v>
      </c>
      <c r="C21" s="16" t="s">
        <v>212</v>
      </c>
      <c r="D21" s="18" t="s">
        <v>268</v>
      </c>
      <c r="E21" s="16" t="s">
        <v>261</v>
      </c>
      <c r="F21" s="16" t="s">
        <v>269</v>
      </c>
      <c r="G21" s="16" t="s">
        <v>263</v>
      </c>
      <c r="H21" s="15" t="n">
        <v>2800</v>
      </c>
      <c r="I21" s="15" t="n">
        <v>30</v>
      </c>
      <c r="J21" s="15" t="n">
        <v>1400</v>
      </c>
      <c r="K21" s="16" t="s">
        <v>261</v>
      </c>
      <c r="L21" s="15" t="n">
        <v>55</v>
      </c>
      <c r="M21" s="15" t="n">
        <v>14</v>
      </c>
      <c r="N21" s="15" t="n">
        <v>15</v>
      </c>
      <c r="O21" s="15" t="n">
        <v>20</v>
      </c>
      <c r="P21" s="15" t="n">
        <v>25</v>
      </c>
      <c r="Q21" s="15" t="n">
        <v>70</v>
      </c>
      <c r="R21" s="15" t="n">
        <v>30</v>
      </c>
      <c r="S21" s="19" t="n">
        <v>14</v>
      </c>
      <c r="T21" s="19" t="n">
        <v>2.5</v>
      </c>
      <c r="U21" s="18" t="s">
        <v>270</v>
      </c>
      <c r="V21" s="18" t="s">
        <v>271</v>
      </c>
      <c r="W21" s="18" t="s">
        <v>272</v>
      </c>
      <c r="X21" s="18"/>
      <c r="Y21" s="20" t="n">
        <f aca="false">IF(T21=0,0,N21/T21)</f>
        <v>6</v>
      </c>
      <c r="Z21" s="20" t="n">
        <f aca="false">IF(T21=0,0,P21/T21)</f>
        <v>10</v>
      </c>
      <c r="AA21" s="20" t="n">
        <f aca="false">IF(T21=0,0,Q21/T21)</f>
        <v>28</v>
      </c>
      <c r="AB21" s="20" t="n">
        <f aca="false">IF(J21=0,0,H21/J21)</f>
        <v>2</v>
      </c>
      <c r="AC21" s="20" t="str">
        <f aca="false">IF(E21="MBT",H21-MBTTargetCost,"")</f>
        <v/>
      </c>
      <c r="AD21" s="20" t="n">
        <f aca="false">IF(H21=0,0,((J21/10)+(Y21*3)+(Z21*8)+(AA21*6)+(S21*0.4))/(H21/1000)*(1+VetDmgBonus*0.3))</f>
        <v>158.025</v>
      </c>
    </row>
    <row r="22" customFormat="false" ht="15" hidden="false" customHeight="false" outlineLevel="0" collapsed="false">
      <c r="A22" s="21" t="s">
        <v>273</v>
      </c>
      <c r="B22" s="22" t="s">
        <v>136</v>
      </c>
      <c r="C22" s="21" t="s">
        <v>212</v>
      </c>
      <c r="D22" s="23" t="s">
        <v>274</v>
      </c>
      <c r="E22" s="21" t="s">
        <v>261</v>
      </c>
      <c r="F22" s="21" t="s">
        <v>275</v>
      </c>
      <c r="G22" s="21" t="s">
        <v>263</v>
      </c>
      <c r="H22" s="15" t="n">
        <v>2200</v>
      </c>
      <c r="I22" s="15" t="n">
        <v>28</v>
      </c>
      <c r="J22" s="15" t="n">
        <v>700</v>
      </c>
      <c r="K22" s="21" t="s">
        <v>261</v>
      </c>
      <c r="L22" s="15" t="n">
        <v>40</v>
      </c>
      <c r="M22" s="15" t="n">
        <v>8</v>
      </c>
      <c r="N22" s="15" t="n">
        <v>0</v>
      </c>
      <c r="O22" s="15" t="n">
        <v>0</v>
      </c>
      <c r="P22" s="15" t="n">
        <v>0</v>
      </c>
      <c r="Q22" s="15" t="n">
        <v>0</v>
      </c>
      <c r="R22" s="15" t="n">
        <v>0</v>
      </c>
      <c r="S22" s="19" t="n">
        <v>8</v>
      </c>
      <c r="T22" s="19" t="n">
        <v>8</v>
      </c>
      <c r="U22" s="23" t="s">
        <v>276</v>
      </c>
      <c r="V22" s="23" t="s">
        <v>277</v>
      </c>
      <c r="W22" s="23" t="s">
        <v>278</v>
      </c>
      <c r="X22" s="23" t="s">
        <v>279</v>
      </c>
      <c r="Y22" s="24" t="n">
        <f aca="false">IF(T22=0,0,N22/T22)</f>
        <v>0</v>
      </c>
      <c r="Z22" s="24" t="n">
        <f aca="false">IF(T22=0,0,P22/T22)</f>
        <v>0</v>
      </c>
      <c r="AA22" s="24" t="n">
        <f aca="false">IF(T22=0,0,Q22/T22)</f>
        <v>0</v>
      </c>
      <c r="AB22" s="24" t="n">
        <f aca="false">IF(J22=0,0,H22/J22)</f>
        <v>3.14285714285714</v>
      </c>
      <c r="AC22" s="24" t="str">
        <f aca="false">IF(E22="MBT",H22-MBTTargetCost,"")</f>
        <v/>
      </c>
      <c r="AD22" s="24" t="n">
        <f aca="false">IF(H22=0,0,((J22/10)+(Y22*3)+(Z22*8)+(AA22*6)+(S22*0.4))/(H22/1000)*(1+VetDmgBonus*0.3))</f>
        <v>35.7681818181818</v>
      </c>
    </row>
    <row r="23" customFormat="false" ht="15" hidden="false" customHeight="false" outlineLevel="0" collapsed="false">
      <c r="A23" s="16" t="s">
        <v>280</v>
      </c>
      <c r="B23" s="25" t="s">
        <v>281</v>
      </c>
      <c r="C23" s="16" t="s">
        <v>137</v>
      </c>
      <c r="D23" s="18" t="s">
        <v>282</v>
      </c>
      <c r="E23" s="16" t="s">
        <v>139</v>
      </c>
      <c r="F23" s="16" t="s">
        <v>140</v>
      </c>
      <c r="G23" s="16" t="s">
        <v>141</v>
      </c>
      <c r="H23" s="15" t="n">
        <v>140</v>
      </c>
      <c r="I23" s="15" t="n">
        <v>8</v>
      </c>
      <c r="J23" s="15" t="n">
        <v>125</v>
      </c>
      <c r="K23" s="16" t="s">
        <v>142</v>
      </c>
      <c r="L23" s="15" t="n">
        <v>52</v>
      </c>
      <c r="M23" s="15" t="n">
        <v>7</v>
      </c>
      <c r="N23" s="15" t="n">
        <v>11</v>
      </c>
      <c r="O23" s="15" t="n">
        <v>6</v>
      </c>
      <c r="P23" s="15" t="n">
        <v>2</v>
      </c>
      <c r="Q23" s="15" t="n">
        <v>1</v>
      </c>
      <c r="R23" s="15" t="n">
        <v>4</v>
      </c>
      <c r="S23" s="19" t="n">
        <v>5.5</v>
      </c>
      <c r="T23" s="19" t="n">
        <v>1</v>
      </c>
      <c r="U23" s="18" t="s">
        <v>283</v>
      </c>
      <c r="V23" s="18" t="s">
        <v>284</v>
      </c>
      <c r="W23" s="18" t="s">
        <v>145</v>
      </c>
      <c r="X23" s="18" t="s">
        <v>285</v>
      </c>
      <c r="Y23" s="20" t="n">
        <f aca="false">IF(T23=0,0,N23/T23)</f>
        <v>11</v>
      </c>
      <c r="Z23" s="20" t="n">
        <f aca="false">IF(T23=0,0,P23/T23)</f>
        <v>2</v>
      </c>
      <c r="AA23" s="20" t="n">
        <f aca="false">IF(T23=0,0,Q23/T23)</f>
        <v>1</v>
      </c>
      <c r="AB23" s="20" t="n">
        <f aca="false">IF(J23=0,0,H23/J23)</f>
        <v>1.12</v>
      </c>
      <c r="AC23" s="20" t="str">
        <f aca="false">IF(E23="MBT",H23-MBTTargetCost,"")</f>
        <v/>
      </c>
      <c r="AD23" s="20" t="n">
        <f aca="false">IF(H23=0,0,((J23/10)+(Y23*3)+(Z23*8)+(AA23*6)+(S23*0.4))/(H23/1000)*(1+VetDmgBonus*0.3))</f>
        <v>535.196428571429</v>
      </c>
    </row>
    <row r="24" customFormat="false" ht="15" hidden="false" customHeight="false" outlineLevel="0" collapsed="false">
      <c r="A24" s="21" t="s">
        <v>286</v>
      </c>
      <c r="B24" s="26" t="s">
        <v>281</v>
      </c>
      <c r="C24" s="21" t="s">
        <v>137</v>
      </c>
      <c r="D24" s="23" t="s">
        <v>148</v>
      </c>
      <c r="E24" s="21" t="s">
        <v>149</v>
      </c>
      <c r="F24" s="21" t="s">
        <v>150</v>
      </c>
      <c r="G24" s="21" t="s">
        <v>141</v>
      </c>
      <c r="H24" s="15" t="n">
        <v>380</v>
      </c>
      <c r="I24" s="15" t="n">
        <v>12</v>
      </c>
      <c r="J24" s="15" t="n">
        <v>80</v>
      </c>
      <c r="K24" s="21" t="s">
        <v>142</v>
      </c>
      <c r="L24" s="15" t="n">
        <v>45</v>
      </c>
      <c r="M24" s="15" t="n">
        <v>8</v>
      </c>
      <c r="N24" s="15" t="n">
        <v>4</v>
      </c>
      <c r="O24" s="15" t="n">
        <v>18</v>
      </c>
      <c r="P24" s="15" t="n">
        <v>88</v>
      </c>
      <c r="Q24" s="15" t="n">
        <v>2</v>
      </c>
      <c r="R24" s="15" t="n">
        <v>8</v>
      </c>
      <c r="S24" s="19" t="n">
        <v>9</v>
      </c>
      <c r="T24" s="19" t="n">
        <v>4.5</v>
      </c>
      <c r="U24" s="23" t="s">
        <v>180</v>
      </c>
      <c r="V24" s="23" t="s">
        <v>160</v>
      </c>
      <c r="W24" s="23" t="s">
        <v>287</v>
      </c>
      <c r="X24" s="23" t="s">
        <v>146</v>
      </c>
      <c r="Y24" s="24" t="n">
        <f aca="false">IF(T24=0,0,N24/T24)</f>
        <v>0.888888888888889</v>
      </c>
      <c r="Z24" s="24" t="n">
        <f aca="false">IF(T24=0,0,P24/T24)</f>
        <v>19.5555555555556</v>
      </c>
      <c r="AA24" s="24" t="n">
        <f aca="false">IF(T24=0,0,Q24/T24)</f>
        <v>0.444444444444444</v>
      </c>
      <c r="AB24" s="24" t="n">
        <f aca="false">IF(J24=0,0,H24/J24)</f>
        <v>4.75</v>
      </c>
      <c r="AC24" s="24" t="str">
        <f aca="false">IF(E24="MBT",H24-MBTTargetCost,"")</f>
        <v/>
      </c>
      <c r="AD24" s="24" t="n">
        <f aca="false">IF(H24=0,0,((J24/10)+(Y24*3)+(Z24*8)+(AA24*6)+(S24*0.4))/(H24/1000)*(1+VetDmgBonus*0.3))</f>
        <v>490.476608187134</v>
      </c>
    </row>
    <row r="25" customFormat="false" ht="15" hidden="false" customHeight="false" outlineLevel="0" collapsed="false">
      <c r="A25" s="16" t="s">
        <v>288</v>
      </c>
      <c r="B25" s="25" t="s">
        <v>281</v>
      </c>
      <c r="C25" s="16" t="s">
        <v>137</v>
      </c>
      <c r="D25" s="18" t="s">
        <v>289</v>
      </c>
      <c r="E25" s="16" t="s">
        <v>157</v>
      </c>
      <c r="F25" s="16" t="s">
        <v>158</v>
      </c>
      <c r="G25" s="16" t="s">
        <v>141</v>
      </c>
      <c r="H25" s="15" t="n">
        <v>340</v>
      </c>
      <c r="I25" s="15" t="n">
        <v>12</v>
      </c>
      <c r="J25" s="15" t="n">
        <v>80</v>
      </c>
      <c r="K25" s="16" t="s">
        <v>142</v>
      </c>
      <c r="L25" s="15" t="n">
        <v>45</v>
      </c>
      <c r="M25" s="15" t="n">
        <v>9</v>
      </c>
      <c r="N25" s="15" t="n">
        <v>3</v>
      </c>
      <c r="O25" s="15" t="n">
        <v>4</v>
      </c>
      <c r="P25" s="15" t="n">
        <v>3</v>
      </c>
      <c r="Q25" s="15" t="n">
        <v>52</v>
      </c>
      <c r="R25" s="15" t="n">
        <v>5</v>
      </c>
      <c r="S25" s="19" t="n">
        <v>8</v>
      </c>
      <c r="T25" s="19" t="n">
        <v>5</v>
      </c>
      <c r="U25" s="18" t="s">
        <v>180</v>
      </c>
      <c r="V25" s="18" t="s">
        <v>160</v>
      </c>
      <c r="W25" s="18" t="s">
        <v>161</v>
      </c>
      <c r="X25" s="18" t="s">
        <v>146</v>
      </c>
      <c r="Y25" s="20" t="n">
        <f aca="false">IF(T25=0,0,N25/T25)</f>
        <v>0.6</v>
      </c>
      <c r="Z25" s="20" t="n">
        <f aca="false">IF(T25=0,0,P25/T25)</f>
        <v>0.6</v>
      </c>
      <c r="AA25" s="20" t="n">
        <f aca="false">IF(T25=0,0,Q25/T25)</f>
        <v>10.4</v>
      </c>
      <c r="AB25" s="20" t="n">
        <f aca="false">IF(J25=0,0,H25/J25)</f>
        <v>4.25</v>
      </c>
      <c r="AC25" s="20" t="str">
        <f aca="false">IF(E25="MBT",H25-MBTTargetCost,"")</f>
        <v/>
      </c>
      <c r="AD25" s="20" t="n">
        <f aca="false">IF(H25=0,0,((J25/10)+(Y25*3)+(Z25*8)+(AA25*6)+(S25*0.4))/(H25/1000)*(1+VetDmgBonus*0.3))</f>
        <v>253.573529411765</v>
      </c>
    </row>
    <row r="26" customFormat="false" ht="15" hidden="false" customHeight="false" outlineLevel="0" collapsed="false">
      <c r="A26" s="21" t="s">
        <v>290</v>
      </c>
      <c r="B26" s="26" t="s">
        <v>281</v>
      </c>
      <c r="C26" s="21" t="s">
        <v>137</v>
      </c>
      <c r="D26" s="23" t="s">
        <v>163</v>
      </c>
      <c r="E26" s="21" t="s">
        <v>163</v>
      </c>
      <c r="F26" s="21" t="s">
        <v>164</v>
      </c>
      <c r="G26" s="21" t="s">
        <v>141</v>
      </c>
      <c r="H26" s="15" t="n">
        <v>500</v>
      </c>
      <c r="I26" s="15" t="n">
        <v>10</v>
      </c>
      <c r="J26" s="15" t="n">
        <v>80</v>
      </c>
      <c r="K26" s="21" t="s">
        <v>142</v>
      </c>
      <c r="L26" s="15" t="n">
        <v>50</v>
      </c>
      <c r="M26" s="15" t="n">
        <v>6</v>
      </c>
      <c r="N26" s="15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9" t="n">
        <v>2</v>
      </c>
      <c r="T26" s="19" t="n">
        <v>0</v>
      </c>
      <c r="U26" s="23" t="s">
        <v>165</v>
      </c>
      <c r="V26" s="23" t="s">
        <v>291</v>
      </c>
      <c r="W26" s="23" t="s">
        <v>292</v>
      </c>
      <c r="X26" s="23" t="s">
        <v>146</v>
      </c>
      <c r="Y26" s="24" t="n">
        <f aca="false">IF(T26=0,0,N26/T26)</f>
        <v>0</v>
      </c>
      <c r="Z26" s="24" t="n">
        <f aca="false">IF(T26=0,0,P26/T26)</f>
        <v>0</v>
      </c>
      <c r="AA26" s="24" t="n">
        <f aca="false">IF(T26=0,0,Q26/T26)</f>
        <v>0</v>
      </c>
      <c r="AB26" s="24" t="n">
        <f aca="false">IF(J26=0,0,H26/J26)</f>
        <v>6.25</v>
      </c>
      <c r="AC26" s="24" t="str">
        <f aca="false">IF(E26="MBT",H26-MBTTargetCost,"")</f>
        <v/>
      </c>
      <c r="AD26" s="24" t="n">
        <f aca="false">IF(H26=0,0,((J26/10)+(Y26*3)+(Z26*8)+(AA26*6)+(S26*0.4))/(H26/1000)*(1+VetDmgBonus*0.3))</f>
        <v>18.92</v>
      </c>
    </row>
    <row r="27" customFormat="false" ht="15" hidden="false" customHeight="false" outlineLevel="0" collapsed="false">
      <c r="A27" s="16" t="s">
        <v>293</v>
      </c>
      <c r="B27" s="25" t="s">
        <v>281</v>
      </c>
      <c r="C27" s="16" t="s">
        <v>137</v>
      </c>
      <c r="D27" s="18" t="s">
        <v>294</v>
      </c>
      <c r="E27" s="16" t="s">
        <v>144</v>
      </c>
      <c r="F27" s="16" t="s">
        <v>295</v>
      </c>
      <c r="G27" s="16" t="s">
        <v>141</v>
      </c>
      <c r="H27" s="15" t="n">
        <v>750</v>
      </c>
      <c r="I27" s="15" t="n">
        <v>12</v>
      </c>
      <c r="J27" s="15" t="n">
        <v>400</v>
      </c>
      <c r="K27" s="16" t="s">
        <v>171</v>
      </c>
      <c r="L27" s="15" t="n">
        <v>68</v>
      </c>
      <c r="M27" s="15" t="n">
        <v>8</v>
      </c>
      <c r="N27" s="15" t="n">
        <v>20</v>
      </c>
      <c r="O27" s="15" t="n">
        <v>18</v>
      </c>
      <c r="P27" s="15" t="n">
        <v>28</v>
      </c>
      <c r="Q27" s="15" t="n">
        <v>8</v>
      </c>
      <c r="R27" s="15" t="n">
        <v>10</v>
      </c>
      <c r="S27" s="19" t="n">
        <v>6.5</v>
      </c>
      <c r="T27" s="19" t="n">
        <v>1.2</v>
      </c>
      <c r="U27" s="18" t="s">
        <v>296</v>
      </c>
      <c r="V27" s="18" t="s">
        <v>297</v>
      </c>
      <c r="W27" s="18" t="s">
        <v>139</v>
      </c>
      <c r="X27" s="18" t="s">
        <v>146</v>
      </c>
      <c r="Y27" s="20" t="n">
        <f aca="false">IF(T27=0,0,N27/T27)</f>
        <v>16.6666666666667</v>
      </c>
      <c r="Z27" s="20" t="n">
        <f aca="false">IF(T27=0,0,P27/T27)</f>
        <v>23.3333333333333</v>
      </c>
      <c r="AA27" s="20" t="n">
        <f aca="false">IF(T27=0,0,Q27/T27)</f>
        <v>6.66666666666667</v>
      </c>
      <c r="AB27" s="20" t="n">
        <f aca="false">IF(J27=0,0,H27/J27)</f>
        <v>1.875</v>
      </c>
      <c r="AC27" s="20" t="str">
        <f aca="false">IF(E27="MBT",H27-MBTTargetCost,"")</f>
        <v/>
      </c>
      <c r="AD27" s="20" t="n">
        <f aca="false">IF(H27=0,0,((J27/10)+(Y27*3)+(Z27*8)+(AA27*6)+(S27*0.4))/(H27/1000)*(1+VetDmgBonus*0.3))</f>
        <v>457.615555555556</v>
      </c>
    </row>
    <row r="28" customFormat="false" ht="15" hidden="false" customHeight="false" outlineLevel="0" collapsed="false">
      <c r="A28" s="21" t="s">
        <v>298</v>
      </c>
      <c r="B28" s="26" t="s">
        <v>281</v>
      </c>
      <c r="C28" s="21" t="s">
        <v>137</v>
      </c>
      <c r="D28" s="23" t="s">
        <v>299</v>
      </c>
      <c r="E28" s="21" t="s">
        <v>177</v>
      </c>
      <c r="F28" s="21" t="s">
        <v>300</v>
      </c>
      <c r="G28" s="21" t="s">
        <v>141</v>
      </c>
      <c r="H28" s="15" t="n">
        <v>900</v>
      </c>
      <c r="I28" s="15" t="n">
        <v>12</v>
      </c>
      <c r="J28" s="15" t="n">
        <v>700</v>
      </c>
      <c r="K28" s="21" t="s">
        <v>179</v>
      </c>
      <c r="L28" s="15" t="n">
        <v>58</v>
      </c>
      <c r="M28" s="15" t="n">
        <v>7</v>
      </c>
      <c r="N28" s="15" t="n">
        <v>16</v>
      </c>
      <c r="O28" s="15" t="n">
        <v>26</v>
      </c>
      <c r="P28" s="15" t="n">
        <v>52</v>
      </c>
      <c r="Q28" s="15" t="n">
        <v>4</v>
      </c>
      <c r="R28" s="15" t="n">
        <v>14</v>
      </c>
      <c r="S28" s="19" t="n">
        <v>7</v>
      </c>
      <c r="T28" s="19" t="n">
        <v>2.3</v>
      </c>
      <c r="U28" s="23" t="s">
        <v>301</v>
      </c>
      <c r="V28" s="23" t="s">
        <v>181</v>
      </c>
      <c r="W28" s="23" t="s">
        <v>139</v>
      </c>
      <c r="X28" s="23" t="s">
        <v>146</v>
      </c>
      <c r="Y28" s="24" t="n">
        <f aca="false">IF(T28=0,0,N28/T28)</f>
        <v>6.95652173913044</v>
      </c>
      <c r="Z28" s="24" t="n">
        <f aca="false">IF(T28=0,0,P28/T28)</f>
        <v>22.6086956521739</v>
      </c>
      <c r="AA28" s="24" t="n">
        <f aca="false">IF(T28=0,0,Q28/T28)</f>
        <v>1.73913043478261</v>
      </c>
      <c r="AB28" s="24" t="n">
        <f aca="false">IF(J28=0,0,H28/J28)</f>
        <v>1.28571428571429</v>
      </c>
      <c r="AC28" s="24" t="str">
        <f aca="false">IF(E28="MBT",H28-MBTTargetCost,"")</f>
        <v/>
      </c>
      <c r="AD28" s="24" t="n">
        <f aca="false">IF(H28=0,0,((J28/10)+(Y28*3)+(Z28*8)+(AA28*6)+(S28*0.4))/(H28/1000)*(1+VetDmgBonus*0.3))</f>
        <v>340.385507246377</v>
      </c>
    </row>
    <row r="29" customFormat="false" ht="15" hidden="false" customHeight="false" outlineLevel="0" collapsed="false">
      <c r="A29" s="16" t="s">
        <v>302</v>
      </c>
      <c r="B29" s="25" t="s">
        <v>281</v>
      </c>
      <c r="C29" s="16" t="s">
        <v>137</v>
      </c>
      <c r="D29" s="18" t="s">
        <v>303</v>
      </c>
      <c r="E29" s="16" t="s">
        <v>185</v>
      </c>
      <c r="F29" s="16" t="s">
        <v>186</v>
      </c>
      <c r="G29" s="16" t="s">
        <v>141</v>
      </c>
      <c r="H29" s="15" t="n">
        <v>1500</v>
      </c>
      <c r="I29" s="15" t="n">
        <v>18</v>
      </c>
      <c r="J29" s="15" t="n">
        <v>1180</v>
      </c>
      <c r="K29" s="16" t="s">
        <v>179</v>
      </c>
      <c r="L29" s="15" t="n">
        <v>62</v>
      </c>
      <c r="M29" s="15" t="n">
        <v>8</v>
      </c>
      <c r="N29" s="15" t="n">
        <v>20</v>
      </c>
      <c r="O29" s="15" t="n">
        <v>32</v>
      </c>
      <c r="P29" s="15" t="n">
        <v>80</v>
      </c>
      <c r="Q29" s="15" t="n">
        <v>6</v>
      </c>
      <c r="R29" s="15" t="n">
        <v>20</v>
      </c>
      <c r="S29" s="19" t="n">
        <v>8</v>
      </c>
      <c r="T29" s="19" t="n">
        <v>2</v>
      </c>
      <c r="U29" s="18" t="s">
        <v>304</v>
      </c>
      <c r="V29" s="18" t="s">
        <v>231</v>
      </c>
      <c r="W29" s="18" t="s">
        <v>232</v>
      </c>
      <c r="X29" s="18" t="s">
        <v>305</v>
      </c>
      <c r="Y29" s="20" t="n">
        <f aca="false">IF(T29=0,0,N29/T29)</f>
        <v>10</v>
      </c>
      <c r="Z29" s="20" t="n">
        <f aca="false">IF(T29=0,0,P29/T29)</f>
        <v>40</v>
      </c>
      <c r="AA29" s="20" t="n">
        <f aca="false">IF(T29=0,0,Q29/T29)</f>
        <v>3</v>
      </c>
      <c r="AB29" s="20" t="n">
        <f aca="false">IF(J29=0,0,H29/J29)</f>
        <v>1.27118644067797</v>
      </c>
      <c r="AC29" s="20" t="n">
        <f aca="false">IF(E29="MBT",H29-MBTTargetCost,"")</f>
        <v>0</v>
      </c>
      <c r="AD29" s="20" t="n">
        <f aca="false">IF(H29=0,0,((J29/10)+(Y29*3)+(Z29*8)+(AA29*6)+(S29*0.4))/(H29/1000)*(1+VetDmgBonus*0.3))</f>
        <v>350.593333333333</v>
      </c>
    </row>
    <row r="30" customFormat="false" ht="15" hidden="false" customHeight="false" outlineLevel="0" collapsed="false">
      <c r="A30" s="21" t="s">
        <v>306</v>
      </c>
      <c r="B30" s="26" t="s">
        <v>281</v>
      </c>
      <c r="C30" s="21" t="s">
        <v>137</v>
      </c>
      <c r="D30" s="23" t="s">
        <v>307</v>
      </c>
      <c r="E30" s="21" t="s">
        <v>236</v>
      </c>
      <c r="F30" s="21" t="s">
        <v>308</v>
      </c>
      <c r="G30" s="21" t="s">
        <v>141</v>
      </c>
      <c r="H30" s="15" t="n">
        <v>1600</v>
      </c>
      <c r="I30" s="15" t="n">
        <v>20</v>
      </c>
      <c r="J30" s="15" t="n">
        <v>480</v>
      </c>
      <c r="K30" s="21" t="s">
        <v>171</v>
      </c>
      <c r="L30" s="15" t="n">
        <v>50</v>
      </c>
      <c r="M30" s="15" t="n">
        <v>8</v>
      </c>
      <c r="N30" s="15" t="n">
        <v>90</v>
      </c>
      <c r="O30" s="15" t="n">
        <v>55</v>
      </c>
      <c r="P30" s="15" t="n">
        <v>35</v>
      </c>
      <c r="Q30" s="15" t="n">
        <v>6</v>
      </c>
      <c r="R30" s="15" t="n">
        <v>110</v>
      </c>
      <c r="S30" s="19" t="n">
        <v>7</v>
      </c>
      <c r="T30" s="19" t="n">
        <v>10</v>
      </c>
      <c r="U30" s="23" t="s">
        <v>309</v>
      </c>
      <c r="V30" s="23" t="s">
        <v>310</v>
      </c>
      <c r="W30" s="23" t="s">
        <v>311</v>
      </c>
      <c r="X30" s="23" t="s">
        <v>312</v>
      </c>
      <c r="Y30" s="24" t="n">
        <f aca="false">IF(T30=0,0,N30/T30)</f>
        <v>9</v>
      </c>
      <c r="Z30" s="24" t="n">
        <f aca="false">IF(T30=0,0,P30/T30)</f>
        <v>3.5</v>
      </c>
      <c r="AA30" s="24" t="n">
        <f aca="false">IF(T30=0,0,Q30/T30)</f>
        <v>0.6</v>
      </c>
      <c r="AB30" s="24" t="n">
        <f aca="false">IF(J30=0,0,H30/J30)</f>
        <v>3.33333333333333</v>
      </c>
      <c r="AC30" s="24" t="str">
        <f aca="false">IF(E30="MBT",H30-MBTTargetCost,"")</f>
        <v/>
      </c>
      <c r="AD30" s="24" t="n">
        <f aca="false">IF(H30=0,0,((J30/10)+(Y30*3)+(Z30*8)+(AA30*6)+(S30*0.4))/(H30/1000)*(1+VetDmgBonus*0.3))</f>
        <v>73.503125</v>
      </c>
    </row>
    <row r="31" customFormat="false" ht="15" hidden="false" customHeight="false" outlineLevel="0" collapsed="false">
      <c r="A31" s="16" t="s">
        <v>313</v>
      </c>
      <c r="B31" s="25" t="s">
        <v>281</v>
      </c>
      <c r="C31" s="16" t="s">
        <v>137</v>
      </c>
      <c r="D31" s="18" t="s">
        <v>314</v>
      </c>
      <c r="E31" s="16" t="s">
        <v>198</v>
      </c>
      <c r="F31" s="16" t="s">
        <v>199</v>
      </c>
      <c r="G31" s="16" t="s">
        <v>200</v>
      </c>
      <c r="H31" s="15" t="n">
        <v>1550</v>
      </c>
      <c r="I31" s="15" t="n">
        <v>18</v>
      </c>
      <c r="J31" s="15" t="n">
        <v>400</v>
      </c>
      <c r="K31" s="16" t="s">
        <v>200</v>
      </c>
      <c r="L31" s="15" t="n">
        <v>90</v>
      </c>
      <c r="M31" s="15" t="n">
        <v>10</v>
      </c>
      <c r="N31" s="15" t="n">
        <v>12</v>
      </c>
      <c r="O31" s="15" t="n">
        <v>18</v>
      </c>
      <c r="P31" s="15" t="n">
        <v>78</v>
      </c>
      <c r="Q31" s="15" t="n">
        <v>8</v>
      </c>
      <c r="R31" s="15" t="n">
        <v>8</v>
      </c>
      <c r="S31" s="19" t="n">
        <v>8</v>
      </c>
      <c r="T31" s="19" t="n">
        <v>3.2</v>
      </c>
      <c r="U31" s="18" t="s">
        <v>315</v>
      </c>
      <c r="V31" s="18" t="s">
        <v>316</v>
      </c>
      <c r="W31" s="18" t="s">
        <v>203</v>
      </c>
      <c r="X31" s="18" t="s">
        <v>146</v>
      </c>
      <c r="Y31" s="20" t="n">
        <f aca="false">IF(T31=0,0,N31/T31)</f>
        <v>3.75</v>
      </c>
      <c r="Z31" s="20" t="n">
        <f aca="false">IF(T31=0,0,P31/T31)</f>
        <v>24.375</v>
      </c>
      <c r="AA31" s="20" t="n">
        <f aca="false">IF(T31=0,0,Q31/T31)</f>
        <v>2.5</v>
      </c>
      <c r="AB31" s="20" t="n">
        <f aca="false">IF(J31=0,0,H31/J31)</f>
        <v>3.875</v>
      </c>
      <c r="AC31" s="20" t="str">
        <f aca="false">IF(E31="MBT",H31-MBTTargetCost,"")</f>
        <v/>
      </c>
      <c r="AD31" s="20" t="n">
        <f aca="false">IF(H31=0,0,((J31/10)+(Y31*3)+(Z31*8)+(AA31*6)+(S31*0.4))/(H31/1000)*(1+VetDmgBonus*0.3))</f>
        <v>183.408870967742</v>
      </c>
    </row>
    <row r="32" customFormat="false" ht="15" hidden="false" customHeight="false" outlineLevel="0" collapsed="false">
      <c r="A32" s="21" t="s">
        <v>317</v>
      </c>
      <c r="B32" s="26" t="s">
        <v>281</v>
      </c>
      <c r="C32" s="21" t="s">
        <v>137</v>
      </c>
      <c r="D32" s="23" t="s">
        <v>318</v>
      </c>
      <c r="E32" s="21" t="s">
        <v>206</v>
      </c>
      <c r="F32" s="21" t="s">
        <v>319</v>
      </c>
      <c r="G32" s="21" t="s">
        <v>200</v>
      </c>
      <c r="H32" s="15" t="n">
        <v>1800</v>
      </c>
      <c r="I32" s="15" t="n">
        <v>22</v>
      </c>
      <c r="J32" s="15" t="n">
        <v>360</v>
      </c>
      <c r="K32" s="21" t="s">
        <v>200</v>
      </c>
      <c r="L32" s="15" t="n">
        <v>132</v>
      </c>
      <c r="M32" s="15" t="n">
        <v>12</v>
      </c>
      <c r="N32" s="15" t="n">
        <v>10</v>
      </c>
      <c r="O32" s="15" t="n">
        <v>16</v>
      </c>
      <c r="P32" s="15" t="n">
        <v>44</v>
      </c>
      <c r="Q32" s="15" t="n">
        <v>58</v>
      </c>
      <c r="R32" s="15" t="n">
        <v>20</v>
      </c>
      <c r="S32" s="19" t="n">
        <v>13</v>
      </c>
      <c r="T32" s="19" t="n">
        <v>3.3</v>
      </c>
      <c r="U32" s="23" t="s">
        <v>320</v>
      </c>
      <c r="V32" s="23" t="s">
        <v>321</v>
      </c>
      <c r="W32" s="23" t="s">
        <v>322</v>
      </c>
      <c r="X32" s="23" t="s">
        <v>146</v>
      </c>
      <c r="Y32" s="24" t="n">
        <f aca="false">IF(T32=0,0,N32/T32)</f>
        <v>3.03030303030303</v>
      </c>
      <c r="Z32" s="24" t="n">
        <f aca="false">IF(T32=0,0,P32/T32)</f>
        <v>13.3333333333333</v>
      </c>
      <c r="AA32" s="24" t="n">
        <f aca="false">IF(T32=0,0,Q32/T32)</f>
        <v>17.5757575757576</v>
      </c>
      <c r="AB32" s="24" t="n">
        <f aca="false">IF(J32=0,0,H32/J32)</f>
        <v>5</v>
      </c>
      <c r="AC32" s="24" t="str">
        <f aca="false">IF(E32="MBT",H32-MBTTargetCost,"")</f>
        <v/>
      </c>
      <c r="AD32" s="24" t="n">
        <f aca="false">IF(H32=0,0,((J32/10)+(Y32*3)+(Z32*8)+(AA32*6)+(S32*0.4))/(H32/1000)*(1+VetDmgBonus*0.3))</f>
        <v>156.71835016835</v>
      </c>
    </row>
    <row r="33" customFormat="false" ht="15" hidden="false" customHeight="false" outlineLevel="0" collapsed="false">
      <c r="A33" s="16" t="s">
        <v>323</v>
      </c>
      <c r="B33" s="25" t="s">
        <v>281</v>
      </c>
      <c r="C33" s="16" t="s">
        <v>212</v>
      </c>
      <c r="D33" s="18" t="s">
        <v>324</v>
      </c>
      <c r="E33" s="16" t="s">
        <v>221</v>
      </c>
      <c r="F33" s="16" t="s">
        <v>325</v>
      </c>
      <c r="G33" s="16" t="s">
        <v>141</v>
      </c>
      <c r="H33" s="15" t="n">
        <v>620</v>
      </c>
      <c r="I33" s="15" t="n">
        <v>12</v>
      </c>
      <c r="J33" s="15" t="n">
        <v>340</v>
      </c>
      <c r="K33" s="16" t="s">
        <v>223</v>
      </c>
      <c r="L33" s="15" t="n">
        <v>78</v>
      </c>
      <c r="M33" s="15" t="n">
        <v>7</v>
      </c>
      <c r="N33" s="15" t="n">
        <v>14</v>
      </c>
      <c r="O33" s="15" t="n">
        <v>8</v>
      </c>
      <c r="P33" s="15" t="n">
        <v>4</v>
      </c>
      <c r="Q33" s="15" t="n">
        <v>2</v>
      </c>
      <c r="R33" s="15" t="n">
        <v>6</v>
      </c>
      <c r="S33" s="19" t="n">
        <v>6</v>
      </c>
      <c r="T33" s="19" t="n">
        <v>1.1</v>
      </c>
      <c r="U33" s="18" t="s">
        <v>180</v>
      </c>
      <c r="V33" s="18" t="s">
        <v>225</v>
      </c>
      <c r="W33" s="18" t="s">
        <v>139</v>
      </c>
      <c r="X33" s="18"/>
      <c r="Y33" s="20" t="n">
        <f aca="false">IF(T33=0,0,N33/T33)</f>
        <v>12.7272727272727</v>
      </c>
      <c r="Z33" s="20" t="n">
        <f aca="false">IF(T33=0,0,P33/T33)</f>
        <v>3.63636363636364</v>
      </c>
      <c r="AA33" s="20" t="n">
        <f aca="false">IF(T33=0,0,Q33/T33)</f>
        <v>1.81818181818182</v>
      </c>
      <c r="AB33" s="20" t="n">
        <f aca="false">IF(J33=0,0,H33/J33)</f>
        <v>1.82352941176471</v>
      </c>
      <c r="AC33" s="20" t="str">
        <f aca="false">IF(E33="MBT",H33-MBTTargetCost,"")</f>
        <v/>
      </c>
      <c r="AD33" s="20" t="n">
        <f aca="false">IF(H33=0,0,((J33/10)+(Y33*3)+(Z33*8)+(AA33*6)+(S33*0.4))/(H33/1000)*(1+VetDmgBonus*0.3))</f>
        <v>198.67008797654</v>
      </c>
    </row>
    <row r="34" customFormat="false" ht="15" hidden="false" customHeight="false" outlineLevel="0" collapsed="false">
      <c r="A34" s="21" t="s">
        <v>326</v>
      </c>
      <c r="B34" s="26" t="s">
        <v>281</v>
      </c>
      <c r="C34" s="21" t="s">
        <v>212</v>
      </c>
      <c r="D34" s="23" t="s">
        <v>327</v>
      </c>
      <c r="E34" s="21" t="s">
        <v>328</v>
      </c>
      <c r="F34" s="21" t="s">
        <v>329</v>
      </c>
      <c r="G34" s="21" t="s">
        <v>141</v>
      </c>
      <c r="H34" s="15" t="n">
        <v>1600</v>
      </c>
      <c r="I34" s="15" t="n">
        <v>20</v>
      </c>
      <c r="J34" s="15" t="n">
        <v>980</v>
      </c>
      <c r="K34" s="21" t="s">
        <v>179</v>
      </c>
      <c r="L34" s="15" t="n">
        <v>60</v>
      </c>
      <c r="M34" s="15" t="n">
        <v>8</v>
      </c>
      <c r="N34" s="15" t="n">
        <v>40</v>
      </c>
      <c r="O34" s="15" t="n">
        <v>35</v>
      </c>
      <c r="P34" s="15" t="n">
        <v>40</v>
      </c>
      <c r="Q34" s="15" t="n">
        <v>18</v>
      </c>
      <c r="R34" s="15" t="n">
        <v>18</v>
      </c>
      <c r="S34" s="19" t="n">
        <v>7</v>
      </c>
      <c r="T34" s="19" t="n">
        <v>1.1</v>
      </c>
      <c r="U34" s="23" t="s">
        <v>330</v>
      </c>
      <c r="V34" s="23" t="s">
        <v>331</v>
      </c>
      <c r="W34" s="23" t="s">
        <v>332</v>
      </c>
      <c r="X34" s="23" t="s">
        <v>333</v>
      </c>
      <c r="Y34" s="24" t="n">
        <f aca="false">IF(T34=0,0,N34/T34)</f>
        <v>36.3636363636364</v>
      </c>
      <c r="Z34" s="24" t="n">
        <f aca="false">IF(T34=0,0,P34/T34)</f>
        <v>36.3636363636364</v>
      </c>
      <c r="AA34" s="24" t="n">
        <f aca="false">IF(T34=0,0,Q34/T34)</f>
        <v>16.3636363636364</v>
      </c>
      <c r="AB34" s="24" t="n">
        <f aca="false">IF(J34=0,0,H34/J34)</f>
        <v>1.63265306122449</v>
      </c>
      <c r="AC34" s="24" t="str">
        <f aca="false">IF(E34="MBT",H34-MBTTargetCost,"")</f>
        <v/>
      </c>
      <c r="AD34" s="24" t="n">
        <f aca="false">IF(H34=0,0,((J34/10)+(Y34*3)+(Z34*8)+(AA34*6)+(S34*0.4))/(H34/1000)*(1+VetDmgBonus*0.3))</f>
        <v>402.440909090909</v>
      </c>
    </row>
    <row r="35" customFormat="false" ht="15" hidden="false" customHeight="false" outlineLevel="0" collapsed="false">
      <c r="A35" s="16" t="s">
        <v>334</v>
      </c>
      <c r="B35" s="25" t="s">
        <v>281</v>
      </c>
      <c r="C35" s="16" t="s">
        <v>212</v>
      </c>
      <c r="D35" s="18" t="s">
        <v>335</v>
      </c>
      <c r="E35" s="16" t="s">
        <v>192</v>
      </c>
      <c r="F35" s="16" t="s">
        <v>336</v>
      </c>
      <c r="G35" s="16" t="s">
        <v>141</v>
      </c>
      <c r="H35" s="15" t="n">
        <v>1000</v>
      </c>
      <c r="I35" s="15" t="n">
        <v>14</v>
      </c>
      <c r="J35" s="15" t="n">
        <v>380</v>
      </c>
      <c r="K35" s="16" t="s">
        <v>171</v>
      </c>
      <c r="L35" s="15" t="n">
        <v>58</v>
      </c>
      <c r="M35" s="15" t="n">
        <v>9</v>
      </c>
      <c r="N35" s="15" t="n">
        <v>28</v>
      </c>
      <c r="O35" s="15" t="n">
        <v>32</v>
      </c>
      <c r="P35" s="15" t="n">
        <v>36</v>
      </c>
      <c r="Q35" s="15" t="n">
        <v>6</v>
      </c>
      <c r="R35" s="15" t="n">
        <v>70</v>
      </c>
      <c r="S35" s="19" t="n">
        <v>12</v>
      </c>
      <c r="T35" s="19" t="n">
        <v>5.5</v>
      </c>
      <c r="U35" s="18" t="s">
        <v>180</v>
      </c>
      <c r="V35" s="18" t="s">
        <v>200</v>
      </c>
      <c r="W35" s="18" t="s">
        <v>142</v>
      </c>
      <c r="X35" s="18"/>
      <c r="Y35" s="20" t="n">
        <f aca="false">IF(T35=0,0,N35/T35)</f>
        <v>5.09090909090909</v>
      </c>
      <c r="Z35" s="20" t="n">
        <f aca="false">IF(T35=0,0,P35/T35)</f>
        <v>6.54545454545455</v>
      </c>
      <c r="AA35" s="20" t="n">
        <f aca="false">IF(T35=0,0,Q35/T35)</f>
        <v>1.09090909090909</v>
      </c>
      <c r="AB35" s="20" t="n">
        <f aca="false">IF(J35=0,0,H35/J35)</f>
        <v>2.63157894736842</v>
      </c>
      <c r="AC35" s="20" t="str">
        <f aca="false">IF(E35="MBT",H35-MBTTargetCost,"")</f>
        <v/>
      </c>
      <c r="AD35" s="20" t="n">
        <f aca="false">IF(H35=0,0,((J35/10)+(Y35*3)+(Z35*8)+(AA35*6)+(S35*0.4))/(H35/1000)*(1+VetDmgBonus*0.3))</f>
        <v>125.755454545455</v>
      </c>
    </row>
    <row r="36" customFormat="false" ht="15" hidden="false" customHeight="false" outlineLevel="0" collapsed="false">
      <c r="A36" s="21" t="s">
        <v>337</v>
      </c>
      <c r="B36" s="26" t="s">
        <v>281</v>
      </c>
      <c r="C36" s="21" t="s">
        <v>212</v>
      </c>
      <c r="D36" s="23" t="s">
        <v>338</v>
      </c>
      <c r="E36" s="21" t="s">
        <v>236</v>
      </c>
      <c r="F36" s="21" t="s">
        <v>339</v>
      </c>
      <c r="G36" s="21" t="s">
        <v>141</v>
      </c>
      <c r="H36" s="15" t="n">
        <v>1700</v>
      </c>
      <c r="I36" s="15" t="n">
        <v>22</v>
      </c>
      <c r="J36" s="15" t="n">
        <v>420</v>
      </c>
      <c r="K36" s="21" t="s">
        <v>171</v>
      </c>
      <c r="L36" s="15" t="n">
        <v>52</v>
      </c>
      <c r="M36" s="15" t="n">
        <v>10</v>
      </c>
      <c r="N36" s="15" t="n">
        <v>70</v>
      </c>
      <c r="O36" s="15" t="n">
        <v>55</v>
      </c>
      <c r="P36" s="15" t="n">
        <v>40</v>
      </c>
      <c r="Q36" s="15" t="n">
        <v>8</v>
      </c>
      <c r="R36" s="15" t="n">
        <v>100</v>
      </c>
      <c r="S36" s="19" t="n">
        <v>22</v>
      </c>
      <c r="T36" s="19" t="n">
        <v>10</v>
      </c>
      <c r="U36" s="23" t="s">
        <v>340</v>
      </c>
      <c r="V36" s="23" t="s">
        <v>341</v>
      </c>
      <c r="W36" s="23" t="s">
        <v>342</v>
      </c>
      <c r="X36" s="23"/>
      <c r="Y36" s="24" t="n">
        <f aca="false">IF(T36=0,0,N36/T36)</f>
        <v>7</v>
      </c>
      <c r="Z36" s="24" t="n">
        <f aca="false">IF(T36=0,0,P36/T36)</f>
        <v>4</v>
      </c>
      <c r="AA36" s="24" t="n">
        <f aca="false">IF(T36=0,0,Q36/T36)</f>
        <v>0.8</v>
      </c>
      <c r="AB36" s="24" t="n">
        <f aca="false">IF(J36=0,0,H36/J36)</f>
        <v>4.04761904761905</v>
      </c>
      <c r="AC36" s="24" t="str">
        <f aca="false">IF(E36="MBT",H36-MBTTargetCost,"")</f>
        <v/>
      </c>
      <c r="AD36" s="24" t="n">
        <f aca="false">IF(H36=0,0,((J36/10)+(Y36*3)+(Z36*8)+(AA36*6)+(S36*0.4))/(H36/1000)*(1+VetDmgBonus*0.3))</f>
        <v>68.6735294117647</v>
      </c>
    </row>
    <row r="37" customFormat="false" ht="15" hidden="false" customHeight="false" outlineLevel="0" collapsed="false">
      <c r="A37" s="16" t="s">
        <v>343</v>
      </c>
      <c r="B37" s="25" t="s">
        <v>281</v>
      </c>
      <c r="C37" s="16" t="s">
        <v>212</v>
      </c>
      <c r="D37" s="18" t="s">
        <v>344</v>
      </c>
      <c r="E37" s="16" t="s">
        <v>345</v>
      </c>
      <c r="F37" s="16" t="s">
        <v>346</v>
      </c>
      <c r="G37" s="16" t="s">
        <v>141</v>
      </c>
      <c r="H37" s="15" t="n">
        <v>1300</v>
      </c>
      <c r="I37" s="15" t="n">
        <v>16</v>
      </c>
      <c r="J37" s="15" t="n">
        <v>400</v>
      </c>
      <c r="K37" s="16" t="s">
        <v>171</v>
      </c>
      <c r="L37" s="15" t="n">
        <v>70</v>
      </c>
      <c r="M37" s="15" t="n">
        <v>12</v>
      </c>
      <c r="N37" s="15" t="n">
        <v>4</v>
      </c>
      <c r="O37" s="15" t="n">
        <v>6</v>
      </c>
      <c r="P37" s="15" t="n">
        <v>6</v>
      </c>
      <c r="Q37" s="15" t="n">
        <v>70</v>
      </c>
      <c r="R37" s="15" t="n">
        <v>8</v>
      </c>
      <c r="S37" s="19" t="n">
        <v>10</v>
      </c>
      <c r="T37" s="19" t="n">
        <v>1.5</v>
      </c>
      <c r="U37" s="18" t="s">
        <v>347</v>
      </c>
      <c r="V37" s="18" t="s">
        <v>348</v>
      </c>
      <c r="W37" s="18" t="s">
        <v>200</v>
      </c>
      <c r="X37" s="18" t="s">
        <v>349</v>
      </c>
      <c r="Y37" s="20" t="n">
        <f aca="false">IF(T37=0,0,N37/T37)</f>
        <v>2.66666666666667</v>
      </c>
      <c r="Z37" s="20" t="n">
        <f aca="false">IF(T37=0,0,P37/T37)</f>
        <v>4</v>
      </c>
      <c r="AA37" s="20" t="n">
        <f aca="false">IF(T37=0,0,Q37/T37)</f>
        <v>46.6666666666667</v>
      </c>
      <c r="AB37" s="20" t="n">
        <f aca="false">IF(J37=0,0,H37/J37)</f>
        <v>3.25</v>
      </c>
      <c r="AC37" s="20" t="str">
        <f aca="false">IF(E37="MBT",H37-MBTTargetCost,"")</f>
        <v/>
      </c>
      <c r="AD37" s="20" t="n">
        <f aca="false">IF(H37=0,0,((J37/10)+(Y37*3)+(Z37*8)+(AA37*6)+(S37*0.4))/(H37/1000)*(1+VetDmgBonus*0.3))</f>
        <v>301</v>
      </c>
    </row>
    <row r="38" customFormat="false" ht="15" hidden="false" customHeight="false" outlineLevel="0" collapsed="false">
      <c r="A38" s="21" t="s">
        <v>350</v>
      </c>
      <c r="B38" s="26" t="s">
        <v>281</v>
      </c>
      <c r="C38" s="21" t="s">
        <v>212</v>
      </c>
      <c r="D38" s="23" t="s">
        <v>351</v>
      </c>
      <c r="E38" s="21" t="s">
        <v>206</v>
      </c>
      <c r="F38" s="21" t="s">
        <v>352</v>
      </c>
      <c r="G38" s="21" t="s">
        <v>200</v>
      </c>
      <c r="H38" s="15" t="n">
        <v>1400</v>
      </c>
      <c r="I38" s="15" t="n">
        <v>18</v>
      </c>
      <c r="J38" s="15" t="n">
        <v>290</v>
      </c>
      <c r="K38" s="21" t="s">
        <v>200</v>
      </c>
      <c r="L38" s="15" t="n">
        <v>138</v>
      </c>
      <c r="M38" s="15" t="n">
        <v>11</v>
      </c>
      <c r="N38" s="15" t="n">
        <v>6</v>
      </c>
      <c r="O38" s="15" t="n">
        <v>10</v>
      </c>
      <c r="P38" s="15" t="n">
        <v>26</v>
      </c>
      <c r="Q38" s="15" t="n">
        <v>55</v>
      </c>
      <c r="R38" s="15" t="n">
        <v>10</v>
      </c>
      <c r="S38" s="19" t="n">
        <v>11</v>
      </c>
      <c r="T38" s="19" t="n">
        <v>3</v>
      </c>
      <c r="U38" s="23" t="s">
        <v>180</v>
      </c>
      <c r="V38" s="23" t="s">
        <v>353</v>
      </c>
      <c r="W38" s="23" t="s">
        <v>354</v>
      </c>
      <c r="X38" s="23"/>
      <c r="Y38" s="24" t="n">
        <f aca="false">IF(T38=0,0,N38/T38)</f>
        <v>2</v>
      </c>
      <c r="Z38" s="24" t="n">
        <f aca="false">IF(T38=0,0,P38/T38)</f>
        <v>8.66666666666667</v>
      </c>
      <c r="AA38" s="24" t="n">
        <f aca="false">IF(T38=0,0,Q38/T38)</f>
        <v>18.3333333333333</v>
      </c>
      <c r="AB38" s="24" t="n">
        <f aca="false">IF(J38=0,0,H38/J38)</f>
        <v>4.82758620689655</v>
      </c>
      <c r="AC38" s="24" t="str">
        <f aca="false">IF(E38="MBT",H38-MBTTargetCost,"")</f>
        <v/>
      </c>
      <c r="AD38" s="24" t="n">
        <f aca="false">IF(H38=0,0,((J38/10)+(Y38*3)+(Z38*8)+(AA38*6)+(S38*0.4))/(H38/1000)*(1+VetDmgBonus*0.3))</f>
        <v>167.955952380952</v>
      </c>
    </row>
    <row r="39" customFormat="false" ht="15" hidden="false" customHeight="false" outlineLevel="0" collapsed="false">
      <c r="A39" s="16" t="s">
        <v>355</v>
      </c>
      <c r="B39" s="25" t="s">
        <v>281</v>
      </c>
      <c r="C39" s="16" t="s">
        <v>212</v>
      </c>
      <c r="D39" s="18" t="s">
        <v>356</v>
      </c>
      <c r="E39" s="16" t="s">
        <v>357</v>
      </c>
      <c r="F39" s="16" t="s">
        <v>358</v>
      </c>
      <c r="G39" s="16" t="s">
        <v>200</v>
      </c>
      <c r="H39" s="15" t="n">
        <v>1700</v>
      </c>
      <c r="I39" s="15" t="n">
        <v>22</v>
      </c>
      <c r="J39" s="15" t="n">
        <v>340</v>
      </c>
      <c r="K39" s="16" t="s">
        <v>200</v>
      </c>
      <c r="L39" s="15" t="n">
        <v>120</v>
      </c>
      <c r="M39" s="15" t="n">
        <v>11</v>
      </c>
      <c r="N39" s="15" t="n">
        <v>16</v>
      </c>
      <c r="O39" s="15" t="n">
        <v>22</v>
      </c>
      <c r="P39" s="15" t="n">
        <v>50</v>
      </c>
      <c r="Q39" s="15" t="n">
        <v>20</v>
      </c>
      <c r="R39" s="15" t="n">
        <v>40</v>
      </c>
      <c r="S39" s="19" t="n">
        <v>12</v>
      </c>
      <c r="T39" s="19" t="n">
        <v>4</v>
      </c>
      <c r="U39" s="18" t="s">
        <v>359</v>
      </c>
      <c r="V39" s="18" t="s">
        <v>360</v>
      </c>
      <c r="W39" s="18" t="s">
        <v>218</v>
      </c>
      <c r="X39" s="18"/>
      <c r="Y39" s="20" t="n">
        <f aca="false">IF(T39=0,0,N39/T39)</f>
        <v>4</v>
      </c>
      <c r="Z39" s="20" t="n">
        <f aca="false">IF(T39=0,0,P39/T39)</f>
        <v>12.5</v>
      </c>
      <c r="AA39" s="20" t="n">
        <f aca="false">IF(T39=0,0,Q39/T39)</f>
        <v>5</v>
      </c>
      <c r="AB39" s="20" t="n">
        <f aca="false">IF(J39=0,0,H39/J39)</f>
        <v>5</v>
      </c>
      <c r="AC39" s="20" t="str">
        <f aca="false">IF(E39="MBT",H39-MBTTargetCost,"")</f>
        <v/>
      </c>
      <c r="AD39" s="20" t="n">
        <f aca="false">IF(H39=0,0,((J39/10)+(Y39*3)+(Z39*8)+(AA39*6)+(S39*0.4))/(H39/1000)*(1+VetDmgBonus*0.3))</f>
        <v>114.329411764706</v>
      </c>
    </row>
    <row r="40" customFormat="false" ht="15" hidden="false" customHeight="false" outlineLevel="0" collapsed="false">
      <c r="A40" s="21" t="s">
        <v>361</v>
      </c>
      <c r="B40" s="26" t="s">
        <v>281</v>
      </c>
      <c r="C40" s="21" t="s">
        <v>212</v>
      </c>
      <c r="D40" s="23" t="s">
        <v>362</v>
      </c>
      <c r="E40" s="21" t="s">
        <v>261</v>
      </c>
      <c r="F40" s="21" t="s">
        <v>363</v>
      </c>
      <c r="G40" s="21" t="s">
        <v>263</v>
      </c>
      <c r="H40" s="15" t="n">
        <v>2400</v>
      </c>
      <c r="I40" s="15" t="n">
        <v>30</v>
      </c>
      <c r="J40" s="15" t="n">
        <v>750</v>
      </c>
      <c r="K40" s="21" t="s">
        <v>261</v>
      </c>
      <c r="L40" s="15" t="n">
        <v>38</v>
      </c>
      <c r="M40" s="15" t="n">
        <v>8</v>
      </c>
      <c r="N40" s="15" t="n">
        <v>0</v>
      </c>
      <c r="O40" s="15" t="n">
        <v>0</v>
      </c>
      <c r="P40" s="15" t="n">
        <v>0</v>
      </c>
      <c r="Q40" s="15" t="n">
        <v>0</v>
      </c>
      <c r="R40" s="15" t="n">
        <v>0</v>
      </c>
      <c r="S40" s="19" t="n">
        <v>8</v>
      </c>
      <c r="T40" s="19" t="n">
        <v>9</v>
      </c>
      <c r="U40" s="23" t="s">
        <v>364</v>
      </c>
      <c r="V40" s="23" t="s">
        <v>365</v>
      </c>
      <c r="W40" s="23" t="s">
        <v>366</v>
      </c>
      <c r="X40" s="23"/>
      <c r="Y40" s="24" t="n">
        <f aca="false">IF(T40=0,0,N40/T40)</f>
        <v>0</v>
      </c>
      <c r="Z40" s="24" t="n">
        <f aca="false">IF(T40=0,0,P40/T40)</f>
        <v>0</v>
      </c>
      <c r="AA40" s="24" t="n">
        <f aca="false">IF(T40=0,0,Q40/T40)</f>
        <v>0</v>
      </c>
      <c r="AB40" s="24" t="n">
        <f aca="false">IF(J40=0,0,H40/J40)</f>
        <v>3.2</v>
      </c>
      <c r="AC40" s="24" t="str">
        <f aca="false">IF(E40="MBT",H40-MBTTargetCost,"")</f>
        <v/>
      </c>
      <c r="AD40" s="24" t="n">
        <f aca="false">IF(H40=0,0,((J40/10)+(Y40*3)+(Z40*8)+(AA40*6)+(S40*0.4))/(H40/1000)*(1+VetDmgBonus*0.3))</f>
        <v>35.0270833333333</v>
      </c>
    </row>
    <row r="41" customFormat="false" ht="15" hidden="false" customHeight="false" outlineLevel="0" collapsed="false">
      <c r="A41" s="16" t="s">
        <v>367</v>
      </c>
      <c r="B41" s="27" t="s">
        <v>368</v>
      </c>
      <c r="C41" s="16" t="s">
        <v>212</v>
      </c>
      <c r="D41" s="18" t="s">
        <v>369</v>
      </c>
      <c r="E41" s="16" t="s">
        <v>139</v>
      </c>
      <c r="F41" s="16" t="s">
        <v>370</v>
      </c>
      <c r="G41" s="16" t="s">
        <v>141</v>
      </c>
      <c r="H41" s="15" t="n">
        <v>180</v>
      </c>
      <c r="I41" s="15" t="n">
        <v>9</v>
      </c>
      <c r="J41" s="15" t="n">
        <v>130</v>
      </c>
      <c r="K41" s="16" t="s">
        <v>142</v>
      </c>
      <c r="L41" s="15" t="n">
        <v>56</v>
      </c>
      <c r="M41" s="15" t="n">
        <v>7</v>
      </c>
      <c r="N41" s="15" t="n">
        <v>13</v>
      </c>
      <c r="O41" s="15" t="n">
        <v>7</v>
      </c>
      <c r="P41" s="15" t="n">
        <v>2</v>
      </c>
      <c r="Q41" s="15" t="n">
        <v>2</v>
      </c>
      <c r="R41" s="15" t="n">
        <v>5</v>
      </c>
      <c r="S41" s="19" t="n">
        <v>5.5</v>
      </c>
      <c r="T41" s="19" t="n">
        <v>1</v>
      </c>
      <c r="U41" s="18" t="s">
        <v>371</v>
      </c>
      <c r="V41" s="18" t="s">
        <v>144</v>
      </c>
      <c r="W41" s="18" t="s">
        <v>372</v>
      </c>
      <c r="X41" s="18" t="s">
        <v>373</v>
      </c>
      <c r="Y41" s="20" t="n">
        <f aca="false">IF(T41=0,0,N41/T41)</f>
        <v>13</v>
      </c>
      <c r="Z41" s="20" t="n">
        <f aca="false">IF(T41=0,0,P41/T41)</f>
        <v>2</v>
      </c>
      <c r="AA41" s="20" t="n">
        <f aca="false">IF(T41=0,0,Q41/T41)</f>
        <v>2</v>
      </c>
      <c r="AB41" s="20" t="n">
        <f aca="false">IF(J41=0,0,H41/J41)</f>
        <v>1.38461538461538</v>
      </c>
      <c r="AC41" s="20" t="str">
        <f aca="false">IF(E41="MBT",H41-MBTTargetCost,"")</f>
        <v/>
      </c>
      <c r="AD41" s="20" t="n">
        <f aca="false">IF(H41=0,0,((J41/10)+(Y41*3)+(Z41*8)+(AA41*6)+(S41*0.4))/(H41/1000)*(1+VetDmgBonus*0.3))</f>
        <v>490.916666666667</v>
      </c>
    </row>
    <row r="42" customFormat="false" ht="15" hidden="false" customHeight="false" outlineLevel="0" collapsed="false">
      <c r="A42" s="21" t="s">
        <v>374</v>
      </c>
      <c r="B42" s="28" t="s">
        <v>368</v>
      </c>
      <c r="C42" s="21" t="s">
        <v>212</v>
      </c>
      <c r="D42" s="23" t="s">
        <v>375</v>
      </c>
      <c r="E42" s="21" t="s">
        <v>149</v>
      </c>
      <c r="F42" s="21" t="s">
        <v>150</v>
      </c>
      <c r="G42" s="21" t="s">
        <v>141</v>
      </c>
      <c r="H42" s="15" t="n">
        <v>420</v>
      </c>
      <c r="I42" s="15" t="n">
        <v>12</v>
      </c>
      <c r="J42" s="15" t="n">
        <v>80</v>
      </c>
      <c r="K42" s="21" t="s">
        <v>142</v>
      </c>
      <c r="L42" s="15" t="n">
        <v>45</v>
      </c>
      <c r="M42" s="15" t="n">
        <v>8</v>
      </c>
      <c r="N42" s="15" t="n">
        <v>4</v>
      </c>
      <c r="O42" s="15" t="n">
        <v>20</v>
      </c>
      <c r="P42" s="15" t="n">
        <v>92</v>
      </c>
      <c r="Q42" s="15" t="n">
        <v>2</v>
      </c>
      <c r="R42" s="15" t="n">
        <v>8</v>
      </c>
      <c r="S42" s="19" t="n">
        <v>9.5</v>
      </c>
      <c r="T42" s="19" t="n">
        <v>4.8</v>
      </c>
      <c r="U42" s="23" t="s">
        <v>376</v>
      </c>
      <c r="V42" s="23" t="s">
        <v>160</v>
      </c>
      <c r="W42" s="23" t="s">
        <v>287</v>
      </c>
      <c r="X42" s="23"/>
      <c r="Y42" s="24" t="n">
        <f aca="false">IF(T42=0,0,N42/T42)</f>
        <v>0.833333333333333</v>
      </c>
      <c r="Z42" s="24" t="n">
        <f aca="false">IF(T42=0,0,P42/T42)</f>
        <v>19.1666666666667</v>
      </c>
      <c r="AA42" s="24" t="n">
        <f aca="false">IF(T42=0,0,Q42/T42)</f>
        <v>0.416666666666667</v>
      </c>
      <c r="AB42" s="24" t="n">
        <f aca="false">IF(J42=0,0,H42/J42)</f>
        <v>5.25</v>
      </c>
      <c r="AC42" s="24" t="str">
        <f aca="false">IF(E42="MBT",H42-MBTTargetCost,"")</f>
        <v/>
      </c>
      <c r="AD42" s="24" t="n">
        <f aca="false">IF(H42=0,0,((J42/10)+(Y42*3)+(Z42*8)+(AA42*6)+(S42*0.4))/(H42/1000)*(1+VetDmgBonus*0.3))</f>
        <v>435.460317460317</v>
      </c>
    </row>
    <row r="43" customFormat="false" ht="15" hidden="false" customHeight="false" outlineLevel="0" collapsed="false">
      <c r="A43" s="16" t="s">
        <v>377</v>
      </c>
      <c r="B43" s="27" t="s">
        <v>368</v>
      </c>
      <c r="C43" s="16" t="s">
        <v>212</v>
      </c>
      <c r="D43" s="18" t="s">
        <v>378</v>
      </c>
      <c r="E43" s="16" t="s">
        <v>345</v>
      </c>
      <c r="F43" s="16" t="s">
        <v>379</v>
      </c>
      <c r="G43" s="16" t="s">
        <v>141</v>
      </c>
      <c r="H43" s="15" t="n">
        <v>600</v>
      </c>
      <c r="I43" s="15" t="n">
        <v>12</v>
      </c>
      <c r="J43" s="15" t="n">
        <v>220</v>
      </c>
      <c r="K43" s="16" t="s">
        <v>223</v>
      </c>
      <c r="L43" s="15" t="n">
        <v>85</v>
      </c>
      <c r="M43" s="15" t="n">
        <v>10</v>
      </c>
      <c r="N43" s="15" t="n">
        <v>2</v>
      </c>
      <c r="O43" s="15" t="n">
        <v>4</v>
      </c>
      <c r="P43" s="15" t="n">
        <v>2</v>
      </c>
      <c r="Q43" s="15" t="n">
        <v>50</v>
      </c>
      <c r="R43" s="15" t="n">
        <v>6</v>
      </c>
      <c r="S43" s="19" t="n">
        <v>8</v>
      </c>
      <c r="T43" s="19" t="n">
        <v>2.5</v>
      </c>
      <c r="U43" s="18" t="s">
        <v>380</v>
      </c>
      <c r="V43" s="18" t="s">
        <v>381</v>
      </c>
      <c r="W43" s="18" t="s">
        <v>382</v>
      </c>
      <c r="X43" s="18"/>
      <c r="Y43" s="20" t="n">
        <f aca="false">IF(T43=0,0,N43/T43)</f>
        <v>0.8</v>
      </c>
      <c r="Z43" s="20" t="n">
        <f aca="false">IF(T43=0,0,P43/T43)</f>
        <v>0.8</v>
      </c>
      <c r="AA43" s="20" t="n">
        <f aca="false">IF(T43=0,0,Q43/T43)</f>
        <v>20</v>
      </c>
      <c r="AB43" s="20" t="n">
        <f aca="false">IF(J43=0,0,H43/J43)</f>
        <v>2.72727272727273</v>
      </c>
      <c r="AC43" s="20" t="str">
        <f aca="false">IF(E43="MBT",H43-MBTTargetCost,"")</f>
        <v/>
      </c>
      <c r="AD43" s="20" t="n">
        <f aca="false">IF(H43=0,0,((J43/10)+(Y43*3)+(Z43*8)+(AA43*6)+(S43*0.4))/(H43/1000)*(1+VetDmgBonus*0.3))</f>
        <v>275.916666666667</v>
      </c>
    </row>
    <row r="44" customFormat="false" ht="15" hidden="false" customHeight="false" outlineLevel="0" collapsed="false">
      <c r="A44" s="21" t="s">
        <v>383</v>
      </c>
      <c r="B44" s="28" t="s">
        <v>368</v>
      </c>
      <c r="C44" s="21" t="s">
        <v>212</v>
      </c>
      <c r="D44" s="23" t="s">
        <v>163</v>
      </c>
      <c r="E44" s="21" t="s">
        <v>163</v>
      </c>
      <c r="F44" s="21" t="s">
        <v>164</v>
      </c>
      <c r="G44" s="21" t="s">
        <v>141</v>
      </c>
      <c r="H44" s="15" t="n">
        <v>500</v>
      </c>
      <c r="I44" s="15" t="n">
        <v>10</v>
      </c>
      <c r="J44" s="15" t="n">
        <v>80</v>
      </c>
      <c r="K44" s="21" t="s">
        <v>142</v>
      </c>
      <c r="L44" s="15" t="n">
        <v>50</v>
      </c>
      <c r="M44" s="15" t="n">
        <v>6</v>
      </c>
      <c r="N44" s="15" t="n">
        <v>0</v>
      </c>
      <c r="O44" s="15" t="n">
        <v>0</v>
      </c>
      <c r="P44" s="15" t="n">
        <v>0</v>
      </c>
      <c r="Q44" s="15" t="n">
        <v>0</v>
      </c>
      <c r="R44" s="15" t="n">
        <v>0</v>
      </c>
      <c r="S44" s="19" t="n">
        <v>2</v>
      </c>
      <c r="T44" s="19" t="n">
        <v>0</v>
      </c>
      <c r="U44" s="23" t="s">
        <v>165</v>
      </c>
      <c r="V44" s="23" t="s">
        <v>291</v>
      </c>
      <c r="W44" s="23" t="s">
        <v>292</v>
      </c>
      <c r="X44" s="23"/>
      <c r="Y44" s="24" t="n">
        <f aca="false">IF(T44=0,0,N44/T44)</f>
        <v>0</v>
      </c>
      <c r="Z44" s="24" t="n">
        <f aca="false">IF(T44=0,0,P44/T44)</f>
        <v>0</v>
      </c>
      <c r="AA44" s="24" t="n">
        <f aca="false">IF(T44=0,0,Q44/T44)</f>
        <v>0</v>
      </c>
      <c r="AB44" s="24" t="n">
        <f aca="false">IF(J44=0,0,H44/J44)</f>
        <v>6.25</v>
      </c>
      <c r="AC44" s="24" t="str">
        <f aca="false">IF(E44="MBT",H44-MBTTargetCost,"")</f>
        <v/>
      </c>
      <c r="AD44" s="24" t="n">
        <f aca="false">IF(H44=0,0,((J44/10)+(Y44*3)+(Z44*8)+(AA44*6)+(S44*0.4))/(H44/1000)*(1+VetDmgBonus*0.3))</f>
        <v>18.92</v>
      </c>
    </row>
    <row r="45" customFormat="false" ht="15" hidden="false" customHeight="false" outlineLevel="0" collapsed="false">
      <c r="A45" s="16" t="s">
        <v>384</v>
      </c>
      <c r="B45" s="27" t="s">
        <v>368</v>
      </c>
      <c r="C45" s="16" t="s">
        <v>212</v>
      </c>
      <c r="D45" s="18" t="s">
        <v>385</v>
      </c>
      <c r="E45" s="16" t="s">
        <v>144</v>
      </c>
      <c r="F45" s="16" t="s">
        <v>386</v>
      </c>
      <c r="G45" s="16" t="s">
        <v>141</v>
      </c>
      <c r="H45" s="15" t="n">
        <v>850</v>
      </c>
      <c r="I45" s="15" t="n">
        <v>14</v>
      </c>
      <c r="J45" s="15" t="n">
        <v>430</v>
      </c>
      <c r="K45" s="16" t="s">
        <v>171</v>
      </c>
      <c r="L45" s="15" t="n">
        <v>72</v>
      </c>
      <c r="M45" s="15" t="n">
        <v>8</v>
      </c>
      <c r="N45" s="15" t="n">
        <v>26</v>
      </c>
      <c r="O45" s="15" t="n">
        <v>22</v>
      </c>
      <c r="P45" s="15" t="n">
        <v>30</v>
      </c>
      <c r="Q45" s="15" t="n">
        <v>10</v>
      </c>
      <c r="R45" s="15" t="n">
        <v>12</v>
      </c>
      <c r="S45" s="19" t="n">
        <v>6.5</v>
      </c>
      <c r="T45" s="19" t="n">
        <v>1.1</v>
      </c>
      <c r="U45" s="18" t="s">
        <v>387</v>
      </c>
      <c r="V45" s="18" t="s">
        <v>297</v>
      </c>
      <c r="W45" s="18" t="s">
        <v>388</v>
      </c>
      <c r="X45" s="18" t="s">
        <v>389</v>
      </c>
      <c r="Y45" s="20" t="n">
        <f aca="false">IF(T45=0,0,N45/T45)</f>
        <v>23.6363636363636</v>
      </c>
      <c r="Z45" s="20" t="n">
        <f aca="false">IF(T45=0,0,P45/T45)</f>
        <v>27.2727272727273</v>
      </c>
      <c r="AA45" s="20" t="n">
        <f aca="false">IF(T45=0,0,Q45/T45)</f>
        <v>9.09090909090909</v>
      </c>
      <c r="AB45" s="20" t="n">
        <f aca="false">IF(J45=0,0,H45/J45)</f>
        <v>1.97674418604651</v>
      </c>
      <c r="AC45" s="20" t="str">
        <f aca="false">IF(E45="MBT",H45-MBTTargetCost,"")</f>
        <v/>
      </c>
      <c r="AD45" s="20" t="n">
        <f aca="false">IF(H45=0,0,((J45/10)+(Y45*3)+(Z45*8)+(AA45*6)+(S45*0.4))/(H45/1000)*(1+VetDmgBonus*0.3))</f>
        <v>492.269518716578</v>
      </c>
    </row>
    <row r="46" customFormat="false" ht="15" hidden="false" customHeight="false" outlineLevel="0" collapsed="false">
      <c r="A46" s="21" t="s">
        <v>390</v>
      </c>
      <c r="B46" s="28" t="s">
        <v>368</v>
      </c>
      <c r="C46" s="21" t="s">
        <v>212</v>
      </c>
      <c r="D46" s="23" t="s">
        <v>391</v>
      </c>
      <c r="E46" s="21" t="s">
        <v>392</v>
      </c>
      <c r="F46" s="21" t="s">
        <v>215</v>
      </c>
      <c r="G46" s="21" t="s">
        <v>141</v>
      </c>
      <c r="H46" s="15" t="n">
        <v>550</v>
      </c>
      <c r="I46" s="15" t="n">
        <v>10</v>
      </c>
      <c r="J46" s="15" t="n">
        <v>260</v>
      </c>
      <c r="K46" s="21" t="s">
        <v>223</v>
      </c>
      <c r="L46" s="15" t="n">
        <v>95</v>
      </c>
      <c r="M46" s="15" t="n">
        <v>8</v>
      </c>
      <c r="N46" s="15" t="n">
        <v>16</v>
      </c>
      <c r="O46" s="15" t="n">
        <v>14</v>
      </c>
      <c r="P46" s="15" t="n">
        <v>18</v>
      </c>
      <c r="Q46" s="15" t="n">
        <v>4</v>
      </c>
      <c r="R46" s="15" t="n">
        <v>6</v>
      </c>
      <c r="S46" s="19" t="n">
        <v>6</v>
      </c>
      <c r="T46" s="19" t="n">
        <v>1.3</v>
      </c>
      <c r="U46" s="23" t="s">
        <v>393</v>
      </c>
      <c r="V46" s="23" t="s">
        <v>394</v>
      </c>
      <c r="W46" s="23" t="s">
        <v>395</v>
      </c>
      <c r="X46" s="23"/>
      <c r="Y46" s="24" t="n">
        <f aca="false">IF(T46=0,0,N46/T46)</f>
        <v>12.3076923076923</v>
      </c>
      <c r="Z46" s="24" t="n">
        <f aca="false">IF(T46=0,0,P46/T46)</f>
        <v>13.8461538461538</v>
      </c>
      <c r="AA46" s="24" t="n">
        <f aca="false">IF(T46=0,0,Q46/T46)</f>
        <v>3.07692307692308</v>
      </c>
      <c r="AB46" s="24" t="n">
        <f aca="false">IF(J46=0,0,H46/J46)</f>
        <v>2.11538461538462</v>
      </c>
      <c r="AC46" s="24" t="str">
        <f aca="false">IF(E46="MBT",H46-MBTTargetCost,"")</f>
        <v/>
      </c>
      <c r="AD46" s="24" t="n">
        <f aca="false">IF(H46=0,0,((J46/10)+(Y46*3)+(Z46*8)+(AA46*6)+(S46*0.4))/(H46/1000)*(1+VetDmgBonus*0.3))</f>
        <v>380.264335664336</v>
      </c>
    </row>
    <row r="47" customFormat="false" ht="15" hidden="false" customHeight="false" outlineLevel="0" collapsed="false">
      <c r="A47" s="16" t="s">
        <v>396</v>
      </c>
      <c r="B47" s="27" t="s">
        <v>368</v>
      </c>
      <c r="C47" s="16" t="s">
        <v>212</v>
      </c>
      <c r="D47" s="18" t="s">
        <v>176</v>
      </c>
      <c r="E47" s="16" t="s">
        <v>177</v>
      </c>
      <c r="F47" s="16" t="s">
        <v>397</v>
      </c>
      <c r="G47" s="16" t="s">
        <v>141</v>
      </c>
      <c r="H47" s="15" t="n">
        <v>1000</v>
      </c>
      <c r="I47" s="15" t="n">
        <v>14</v>
      </c>
      <c r="J47" s="15" t="n">
        <v>720</v>
      </c>
      <c r="K47" s="16" t="s">
        <v>179</v>
      </c>
      <c r="L47" s="15" t="n">
        <v>60</v>
      </c>
      <c r="M47" s="15" t="n">
        <v>8</v>
      </c>
      <c r="N47" s="15" t="n">
        <v>18</v>
      </c>
      <c r="O47" s="15" t="n">
        <v>28</v>
      </c>
      <c r="P47" s="15" t="n">
        <v>55</v>
      </c>
      <c r="Q47" s="15" t="n">
        <v>4</v>
      </c>
      <c r="R47" s="15" t="n">
        <v>16</v>
      </c>
      <c r="S47" s="19" t="n">
        <v>7</v>
      </c>
      <c r="T47" s="19" t="n">
        <v>2.2</v>
      </c>
      <c r="U47" s="18" t="s">
        <v>180</v>
      </c>
      <c r="V47" s="18" t="s">
        <v>398</v>
      </c>
      <c r="W47" s="18" t="s">
        <v>139</v>
      </c>
      <c r="X47" s="18"/>
      <c r="Y47" s="20" t="n">
        <f aca="false">IF(T47=0,0,N47/T47)</f>
        <v>8.18181818181818</v>
      </c>
      <c r="Z47" s="20" t="n">
        <f aca="false">IF(T47=0,0,P47/T47)</f>
        <v>25</v>
      </c>
      <c r="AA47" s="20" t="n">
        <f aca="false">IF(T47=0,0,Q47/T47)</f>
        <v>1.81818181818182</v>
      </c>
      <c r="AB47" s="20" t="n">
        <f aca="false">IF(J47=0,0,H47/J47)</f>
        <v>1.38888888888889</v>
      </c>
      <c r="AC47" s="20" t="str">
        <f aca="false">IF(E47="MBT",H47-MBTTargetCost,"")</f>
        <v/>
      </c>
      <c r="AD47" s="20" t="n">
        <f aca="false">IF(H47=0,0,((J47/10)+(Y47*3)+(Z47*8)+(AA47*6)+(S47*0.4))/(H47/1000)*(1+VetDmgBonus*0.3))</f>
        <v>333.523636363636</v>
      </c>
    </row>
    <row r="48" customFormat="false" ht="15" hidden="false" customHeight="false" outlineLevel="0" collapsed="false">
      <c r="A48" s="21" t="s">
        <v>399</v>
      </c>
      <c r="B48" s="28" t="s">
        <v>368</v>
      </c>
      <c r="C48" s="21" t="s">
        <v>212</v>
      </c>
      <c r="D48" s="23" t="s">
        <v>400</v>
      </c>
      <c r="E48" s="21" t="s">
        <v>185</v>
      </c>
      <c r="F48" s="21" t="s">
        <v>401</v>
      </c>
      <c r="G48" s="21" t="s">
        <v>141</v>
      </c>
      <c r="H48" s="15" t="n">
        <v>1800</v>
      </c>
      <c r="I48" s="15" t="n">
        <v>20</v>
      </c>
      <c r="J48" s="15" t="n">
        <v>1250</v>
      </c>
      <c r="K48" s="21" t="s">
        <v>179</v>
      </c>
      <c r="L48" s="15" t="n">
        <v>66</v>
      </c>
      <c r="M48" s="15" t="n">
        <v>8</v>
      </c>
      <c r="N48" s="15" t="n">
        <v>22</v>
      </c>
      <c r="O48" s="15" t="n">
        <v>36</v>
      </c>
      <c r="P48" s="15" t="n">
        <v>88</v>
      </c>
      <c r="Q48" s="15" t="n">
        <v>8</v>
      </c>
      <c r="R48" s="15" t="n">
        <v>24</v>
      </c>
      <c r="S48" s="19" t="n">
        <v>8.5</v>
      </c>
      <c r="T48" s="19" t="n">
        <v>1.9</v>
      </c>
      <c r="U48" s="23" t="s">
        <v>402</v>
      </c>
      <c r="V48" s="23" t="s">
        <v>403</v>
      </c>
      <c r="W48" s="23" t="s">
        <v>232</v>
      </c>
      <c r="X48" s="23" t="s">
        <v>404</v>
      </c>
      <c r="Y48" s="24" t="n">
        <f aca="false">IF(T48=0,0,N48/T48)</f>
        <v>11.5789473684211</v>
      </c>
      <c r="Z48" s="24" t="n">
        <f aca="false">IF(T48=0,0,P48/T48)</f>
        <v>46.3157894736842</v>
      </c>
      <c r="AA48" s="24" t="n">
        <f aca="false">IF(T48=0,0,Q48/T48)</f>
        <v>4.21052631578947</v>
      </c>
      <c r="AB48" s="24" t="n">
        <f aca="false">IF(J48=0,0,H48/J48)</f>
        <v>1.44</v>
      </c>
      <c r="AC48" s="24" t="n">
        <f aca="false">IF(E48="MBT",H48-MBTTargetCost,"")</f>
        <v>300</v>
      </c>
      <c r="AD48" s="24" t="n">
        <f aca="false">IF(H48=0,0,((J48/10)+(Y48*3)+(Z48*8)+(AA48*6)+(S48*0.4))/(H48/1000)*(1+VetDmgBonus*0.3))</f>
        <v>333.803216374269</v>
      </c>
    </row>
    <row r="49" customFormat="false" ht="15" hidden="false" customHeight="false" outlineLevel="0" collapsed="false">
      <c r="A49" s="16" t="s">
        <v>405</v>
      </c>
      <c r="B49" s="27" t="s">
        <v>368</v>
      </c>
      <c r="C49" s="16" t="s">
        <v>212</v>
      </c>
      <c r="D49" s="18" t="s">
        <v>406</v>
      </c>
      <c r="E49" s="16" t="s">
        <v>192</v>
      </c>
      <c r="F49" s="16" t="s">
        <v>407</v>
      </c>
      <c r="G49" s="16" t="s">
        <v>141</v>
      </c>
      <c r="H49" s="15" t="n">
        <v>1250</v>
      </c>
      <c r="I49" s="15" t="n">
        <v>16</v>
      </c>
      <c r="J49" s="15" t="n">
        <v>380</v>
      </c>
      <c r="K49" s="16" t="s">
        <v>223</v>
      </c>
      <c r="L49" s="15" t="n">
        <v>80</v>
      </c>
      <c r="M49" s="15" t="n">
        <v>10</v>
      </c>
      <c r="N49" s="15" t="n">
        <v>36</v>
      </c>
      <c r="O49" s="15" t="n">
        <v>42</v>
      </c>
      <c r="P49" s="15" t="n">
        <v>48</v>
      </c>
      <c r="Q49" s="15" t="n">
        <v>8</v>
      </c>
      <c r="R49" s="15" t="n">
        <v>95</v>
      </c>
      <c r="S49" s="19" t="n">
        <v>16</v>
      </c>
      <c r="T49" s="19" t="n">
        <v>6</v>
      </c>
      <c r="U49" s="18" t="s">
        <v>408</v>
      </c>
      <c r="V49" s="18" t="s">
        <v>200</v>
      </c>
      <c r="W49" s="18" t="s">
        <v>218</v>
      </c>
      <c r="X49" s="18"/>
      <c r="Y49" s="20" t="n">
        <f aca="false">IF(T49=0,0,N49/T49)</f>
        <v>6</v>
      </c>
      <c r="Z49" s="20" t="n">
        <f aca="false">IF(T49=0,0,P49/T49)</f>
        <v>8</v>
      </c>
      <c r="AA49" s="20" t="n">
        <f aca="false">IF(T49=0,0,Q49/T49)</f>
        <v>1.33333333333333</v>
      </c>
      <c r="AB49" s="20" t="n">
        <f aca="false">IF(J49=0,0,H49/J49)</f>
        <v>3.28947368421053</v>
      </c>
      <c r="AC49" s="20" t="str">
        <f aca="false">IF(E49="MBT",H49-MBTTargetCost,"")</f>
        <v/>
      </c>
      <c r="AD49" s="20" t="n">
        <f aca="false">IF(H49=0,0,((J49/10)+(Y49*3)+(Z49*8)+(AA49*6)+(S49*0.4))/(H49/1000)*(1+VetDmgBonus*0.3))</f>
        <v>115.584</v>
      </c>
    </row>
    <row r="50" customFormat="false" ht="15" hidden="false" customHeight="false" outlineLevel="0" collapsed="false">
      <c r="A50" s="21" t="s">
        <v>409</v>
      </c>
      <c r="B50" s="28" t="s">
        <v>368</v>
      </c>
      <c r="C50" s="21" t="s">
        <v>212</v>
      </c>
      <c r="D50" s="23" t="s">
        <v>410</v>
      </c>
      <c r="E50" s="21" t="s">
        <v>236</v>
      </c>
      <c r="F50" s="21" t="s">
        <v>411</v>
      </c>
      <c r="G50" s="21" t="s">
        <v>141</v>
      </c>
      <c r="H50" s="15" t="n">
        <v>1550</v>
      </c>
      <c r="I50" s="15" t="n">
        <v>18</v>
      </c>
      <c r="J50" s="15" t="n">
        <v>400</v>
      </c>
      <c r="K50" s="21" t="s">
        <v>171</v>
      </c>
      <c r="L50" s="15" t="n">
        <v>58</v>
      </c>
      <c r="M50" s="15" t="n">
        <v>10</v>
      </c>
      <c r="N50" s="15" t="n">
        <v>55</v>
      </c>
      <c r="O50" s="15" t="n">
        <v>48</v>
      </c>
      <c r="P50" s="15" t="n">
        <v>40</v>
      </c>
      <c r="Q50" s="15" t="n">
        <v>8</v>
      </c>
      <c r="R50" s="15" t="n">
        <v>80</v>
      </c>
      <c r="S50" s="19" t="n">
        <v>18</v>
      </c>
      <c r="T50" s="19" t="n">
        <v>8</v>
      </c>
      <c r="U50" s="23" t="s">
        <v>412</v>
      </c>
      <c r="V50" s="23" t="s">
        <v>200</v>
      </c>
      <c r="W50" s="23" t="s">
        <v>342</v>
      </c>
      <c r="X50" s="23"/>
      <c r="Y50" s="24" t="n">
        <f aca="false">IF(T50=0,0,N50/T50)</f>
        <v>6.875</v>
      </c>
      <c r="Z50" s="24" t="n">
        <f aca="false">IF(T50=0,0,P50/T50)</f>
        <v>5</v>
      </c>
      <c r="AA50" s="24" t="n">
        <f aca="false">IF(T50=0,0,Q50/T50)</f>
        <v>1</v>
      </c>
      <c r="AB50" s="24" t="n">
        <f aca="false">IF(J50=0,0,H50/J50)</f>
        <v>3.875</v>
      </c>
      <c r="AC50" s="24" t="str">
        <f aca="false">IF(E50="MBT",H50-MBTTargetCost,"")</f>
        <v/>
      </c>
      <c r="AD50" s="24" t="n">
        <f aca="false">IF(H50=0,0,((J50/10)+(Y50*3)+(Z50*8)+(AA50*6)+(S50*0.4))/(H50/1000)*(1+VetDmgBonus*0.3))</f>
        <v>78.9431451612903</v>
      </c>
    </row>
    <row r="51" customFormat="false" ht="15" hidden="false" customHeight="false" outlineLevel="0" collapsed="false">
      <c r="A51" s="16" t="s">
        <v>413</v>
      </c>
      <c r="B51" s="27" t="s">
        <v>368</v>
      </c>
      <c r="C51" s="16" t="s">
        <v>212</v>
      </c>
      <c r="D51" s="18" t="s">
        <v>414</v>
      </c>
      <c r="E51" s="16" t="s">
        <v>198</v>
      </c>
      <c r="F51" s="16" t="s">
        <v>415</v>
      </c>
      <c r="G51" s="16" t="s">
        <v>200</v>
      </c>
      <c r="H51" s="15" t="n">
        <v>1750</v>
      </c>
      <c r="I51" s="15" t="n">
        <v>20</v>
      </c>
      <c r="J51" s="15" t="n">
        <v>400</v>
      </c>
      <c r="K51" s="16" t="s">
        <v>200</v>
      </c>
      <c r="L51" s="15" t="n">
        <v>96</v>
      </c>
      <c r="M51" s="15" t="n">
        <v>11</v>
      </c>
      <c r="N51" s="15" t="n">
        <v>10</v>
      </c>
      <c r="O51" s="15" t="n">
        <v>22</v>
      </c>
      <c r="P51" s="15" t="n">
        <v>95</v>
      </c>
      <c r="Q51" s="15" t="n">
        <v>10</v>
      </c>
      <c r="R51" s="15" t="n">
        <v>8</v>
      </c>
      <c r="S51" s="19" t="n">
        <v>9</v>
      </c>
      <c r="T51" s="19" t="n">
        <v>2.8</v>
      </c>
      <c r="U51" s="18" t="s">
        <v>416</v>
      </c>
      <c r="V51" s="18" t="s">
        <v>316</v>
      </c>
      <c r="W51" s="18" t="s">
        <v>381</v>
      </c>
      <c r="X51" s="18"/>
      <c r="Y51" s="20" t="n">
        <f aca="false">IF(T51=0,0,N51/T51)</f>
        <v>3.57142857142857</v>
      </c>
      <c r="Z51" s="20" t="n">
        <f aca="false">IF(T51=0,0,P51/T51)</f>
        <v>33.9285714285714</v>
      </c>
      <c r="AA51" s="20" t="n">
        <f aca="false">IF(T51=0,0,Q51/T51)</f>
        <v>3.57142857142857</v>
      </c>
      <c r="AB51" s="20" t="n">
        <f aca="false">IF(J51=0,0,H51/J51)</f>
        <v>4.375</v>
      </c>
      <c r="AC51" s="20" t="str">
        <f aca="false">IF(E51="MBT",H51-MBTTargetCost,"")</f>
        <v/>
      </c>
      <c r="AD51" s="20" t="n">
        <f aca="false">IF(H51=0,0,((J51/10)+(Y51*3)+(Z51*8)+(AA51*6)+(S51*0.4))/(H51/1000)*(1+VetDmgBonus*0.3))</f>
        <v>213.262448979592</v>
      </c>
    </row>
    <row r="52" customFormat="false" ht="15" hidden="false" customHeight="false" outlineLevel="0" collapsed="false">
      <c r="A52" s="21" t="s">
        <v>417</v>
      </c>
      <c r="B52" s="28" t="s">
        <v>368</v>
      </c>
      <c r="C52" s="21" t="s">
        <v>212</v>
      </c>
      <c r="D52" s="23" t="s">
        <v>418</v>
      </c>
      <c r="E52" s="21" t="s">
        <v>419</v>
      </c>
      <c r="F52" s="21" t="s">
        <v>420</v>
      </c>
      <c r="G52" s="21" t="s">
        <v>200</v>
      </c>
      <c r="H52" s="15" t="n">
        <v>1100</v>
      </c>
      <c r="I52" s="15" t="n">
        <v>16</v>
      </c>
      <c r="J52" s="15" t="n">
        <v>320</v>
      </c>
      <c r="K52" s="21" t="s">
        <v>200</v>
      </c>
      <c r="L52" s="15" t="n">
        <v>100</v>
      </c>
      <c r="M52" s="15" t="n">
        <v>8</v>
      </c>
      <c r="N52" s="15" t="n">
        <v>10</v>
      </c>
      <c r="O52" s="15" t="n">
        <v>6</v>
      </c>
      <c r="P52" s="15" t="n">
        <v>4</v>
      </c>
      <c r="Q52" s="15" t="n">
        <v>4</v>
      </c>
      <c r="R52" s="15" t="n">
        <v>4</v>
      </c>
      <c r="S52" s="19" t="n">
        <v>4</v>
      </c>
      <c r="T52" s="19" t="n">
        <v>1.5</v>
      </c>
      <c r="U52" s="23" t="s">
        <v>421</v>
      </c>
      <c r="V52" s="23" t="s">
        <v>158</v>
      </c>
      <c r="W52" s="23" t="s">
        <v>422</v>
      </c>
      <c r="X52" s="23"/>
      <c r="Y52" s="24" t="n">
        <f aca="false">IF(T52=0,0,N52/T52)</f>
        <v>6.66666666666667</v>
      </c>
      <c r="Z52" s="24" t="n">
        <f aca="false">IF(T52=0,0,P52/T52)</f>
        <v>2.66666666666667</v>
      </c>
      <c r="AA52" s="24" t="n">
        <f aca="false">IF(T52=0,0,Q52/T52)</f>
        <v>2.66666666666667</v>
      </c>
      <c r="AB52" s="24" t="n">
        <f aca="false">IF(J52=0,0,H52/J52)</f>
        <v>3.4375</v>
      </c>
      <c r="AC52" s="24" t="str">
        <f aca="false">IF(E52="MBT",H52-MBTTargetCost,"")</f>
        <v/>
      </c>
      <c r="AD52" s="24" t="n">
        <f aca="false">IF(H52=0,0,((J52/10)+(Y52*3)+(Z52*8)+(AA52*6)+(S52*0.4))/(H52/1000)*(1+VetDmgBonus*0.3))</f>
        <v>88.8666666666667</v>
      </c>
    </row>
    <row r="53" customFormat="false" ht="15" hidden="false" customHeight="false" outlineLevel="0" collapsed="false">
      <c r="A53" s="16" t="s">
        <v>423</v>
      </c>
      <c r="B53" s="27" t="s">
        <v>368</v>
      </c>
      <c r="C53" s="16" t="s">
        <v>212</v>
      </c>
      <c r="D53" s="18" t="s">
        <v>424</v>
      </c>
      <c r="E53" s="16" t="s">
        <v>206</v>
      </c>
      <c r="F53" s="16" t="s">
        <v>425</v>
      </c>
      <c r="G53" s="16" t="s">
        <v>200</v>
      </c>
      <c r="H53" s="15" t="n">
        <v>2200</v>
      </c>
      <c r="I53" s="15" t="n">
        <v>24</v>
      </c>
      <c r="J53" s="15" t="n">
        <v>400</v>
      </c>
      <c r="K53" s="16" t="s">
        <v>200</v>
      </c>
      <c r="L53" s="15" t="n">
        <v>145</v>
      </c>
      <c r="M53" s="15" t="n">
        <v>13</v>
      </c>
      <c r="N53" s="15" t="n">
        <v>12</v>
      </c>
      <c r="O53" s="15" t="n">
        <v>20</v>
      </c>
      <c r="P53" s="15" t="n">
        <v>55</v>
      </c>
      <c r="Q53" s="15" t="n">
        <v>70</v>
      </c>
      <c r="R53" s="15" t="n">
        <v>25</v>
      </c>
      <c r="S53" s="19" t="n">
        <v>14</v>
      </c>
      <c r="T53" s="19" t="n">
        <v>3</v>
      </c>
      <c r="U53" s="18" t="s">
        <v>426</v>
      </c>
      <c r="V53" s="18" t="s">
        <v>427</v>
      </c>
      <c r="W53" s="18" t="s">
        <v>428</v>
      </c>
      <c r="X53" s="18" t="s">
        <v>429</v>
      </c>
      <c r="Y53" s="20" t="n">
        <f aca="false">IF(T53=0,0,N53/T53)</f>
        <v>4</v>
      </c>
      <c r="Z53" s="20" t="n">
        <f aca="false">IF(T53=0,0,P53/T53)</f>
        <v>18.3333333333333</v>
      </c>
      <c r="AA53" s="20" t="n">
        <f aca="false">IF(T53=0,0,Q53/T53)</f>
        <v>23.3333333333333</v>
      </c>
      <c r="AB53" s="20" t="n">
        <f aca="false">IF(J53=0,0,H53/J53)</f>
        <v>5.5</v>
      </c>
      <c r="AC53" s="20" t="str">
        <f aca="false">IF(E53="MBT",H53-MBTTargetCost,"")</f>
        <v/>
      </c>
      <c r="AD53" s="20" t="n">
        <f aca="false">IF(H53=0,0,((J53/10)+(Y53*3)+(Z53*8)+(AA53*6)+(S53*0.4))/(H53/1000)*(1+VetDmgBonus*0.3))</f>
        <v>168.221212121212</v>
      </c>
    </row>
    <row r="54" customFormat="false" ht="15" hidden="false" customHeight="false" outlineLevel="0" collapsed="false">
      <c r="A54" s="21" t="s">
        <v>430</v>
      </c>
      <c r="B54" s="28" t="s">
        <v>368</v>
      </c>
      <c r="C54" s="21" t="s">
        <v>212</v>
      </c>
      <c r="D54" s="23" t="s">
        <v>431</v>
      </c>
      <c r="E54" s="21" t="s">
        <v>206</v>
      </c>
      <c r="F54" s="21" t="s">
        <v>432</v>
      </c>
      <c r="G54" s="21" t="s">
        <v>200</v>
      </c>
      <c r="H54" s="15" t="n">
        <v>1900</v>
      </c>
      <c r="I54" s="15" t="n">
        <v>22</v>
      </c>
      <c r="J54" s="15" t="n">
        <v>350</v>
      </c>
      <c r="K54" s="21" t="s">
        <v>200</v>
      </c>
      <c r="L54" s="15" t="n">
        <v>150</v>
      </c>
      <c r="M54" s="15" t="n">
        <v>12</v>
      </c>
      <c r="N54" s="15" t="n">
        <v>8</v>
      </c>
      <c r="O54" s="15" t="n">
        <v>12</v>
      </c>
      <c r="P54" s="15" t="n">
        <v>30</v>
      </c>
      <c r="Q54" s="15" t="n">
        <v>65</v>
      </c>
      <c r="R54" s="15" t="n">
        <v>12</v>
      </c>
      <c r="S54" s="19" t="n">
        <v>12</v>
      </c>
      <c r="T54" s="19" t="n">
        <v>2.8</v>
      </c>
      <c r="U54" s="23" t="s">
        <v>433</v>
      </c>
      <c r="V54" s="23" t="s">
        <v>251</v>
      </c>
      <c r="W54" s="23" t="s">
        <v>434</v>
      </c>
      <c r="X54" s="23"/>
      <c r="Y54" s="24" t="n">
        <f aca="false">IF(T54=0,0,N54/T54)</f>
        <v>2.85714285714286</v>
      </c>
      <c r="Z54" s="24" t="n">
        <f aca="false">IF(T54=0,0,P54/T54)</f>
        <v>10.7142857142857</v>
      </c>
      <c r="AA54" s="24" t="n">
        <f aca="false">IF(T54=0,0,Q54/T54)</f>
        <v>23.2142857142857</v>
      </c>
      <c r="AB54" s="24" t="n">
        <f aca="false">IF(J54=0,0,H54/J54)</f>
        <v>5.42857142857143</v>
      </c>
      <c r="AC54" s="24" t="str">
        <f aca="false">IF(E54="MBT",H54-MBTTargetCost,"")</f>
        <v/>
      </c>
      <c r="AD54" s="24" t="n">
        <f aca="false">IF(H54=0,0,((J54/10)+(Y54*3)+(Z54*8)+(AA54*6)+(S54*0.4))/(H54/1000)*(1+VetDmgBonus*0.3))</f>
        <v>154.670676691729</v>
      </c>
    </row>
    <row r="55" customFormat="false" ht="15" hidden="false" customHeight="false" outlineLevel="0" collapsed="false">
      <c r="A55" s="16" t="s">
        <v>435</v>
      </c>
      <c r="B55" s="27" t="s">
        <v>368</v>
      </c>
      <c r="C55" s="16" t="s">
        <v>212</v>
      </c>
      <c r="D55" s="18" t="s">
        <v>436</v>
      </c>
      <c r="E55" s="16" t="s">
        <v>357</v>
      </c>
      <c r="F55" s="16" t="s">
        <v>437</v>
      </c>
      <c r="G55" s="16" t="s">
        <v>200</v>
      </c>
      <c r="H55" s="15" t="n">
        <v>1400</v>
      </c>
      <c r="I55" s="15" t="n">
        <v>18</v>
      </c>
      <c r="J55" s="15" t="n">
        <v>300</v>
      </c>
      <c r="K55" s="16" t="s">
        <v>200</v>
      </c>
      <c r="L55" s="15" t="n">
        <v>118</v>
      </c>
      <c r="M55" s="15" t="n">
        <v>10</v>
      </c>
      <c r="N55" s="15" t="n">
        <v>14</v>
      </c>
      <c r="O55" s="15" t="n">
        <v>20</v>
      </c>
      <c r="P55" s="15" t="n">
        <v>42</v>
      </c>
      <c r="Q55" s="15" t="n">
        <v>16</v>
      </c>
      <c r="R55" s="15" t="n">
        <v>35</v>
      </c>
      <c r="S55" s="19" t="n">
        <v>11</v>
      </c>
      <c r="T55" s="19" t="n">
        <v>4</v>
      </c>
      <c r="U55" s="18" t="s">
        <v>438</v>
      </c>
      <c r="V55" s="18" t="s">
        <v>206</v>
      </c>
      <c r="W55" s="18" t="s">
        <v>218</v>
      </c>
      <c r="X55" s="18"/>
      <c r="Y55" s="20" t="n">
        <f aca="false">IF(T55=0,0,N55/T55)</f>
        <v>3.5</v>
      </c>
      <c r="Z55" s="20" t="n">
        <f aca="false">IF(T55=0,0,P55/T55)</f>
        <v>10.5</v>
      </c>
      <c r="AA55" s="20" t="n">
        <f aca="false">IF(T55=0,0,Q55/T55)</f>
        <v>4</v>
      </c>
      <c r="AB55" s="20" t="n">
        <f aca="false">IF(J55=0,0,H55/J55)</f>
        <v>4.66666666666667</v>
      </c>
      <c r="AC55" s="20" t="str">
        <f aca="false">IF(E55="MBT",H55-MBTTargetCost,"")</f>
        <v/>
      </c>
      <c r="AD55" s="20" t="n">
        <f aca="false">IF(H55=0,0,((J55/10)+(Y55*3)+(Z55*8)+(AA55*6)+(S55*0.4))/(H55/1000)*(1+VetDmgBonus*0.3))</f>
        <v>117.405357142857</v>
      </c>
    </row>
    <row r="56" customFormat="false" ht="15" hidden="false" customHeight="false" outlineLevel="0" collapsed="false">
      <c r="A56" s="21" t="s">
        <v>439</v>
      </c>
      <c r="B56" s="29" t="s">
        <v>440</v>
      </c>
      <c r="C56" s="21" t="s">
        <v>212</v>
      </c>
      <c r="D56" s="23" t="s">
        <v>441</v>
      </c>
      <c r="E56" s="21" t="s">
        <v>139</v>
      </c>
      <c r="F56" s="21" t="s">
        <v>442</v>
      </c>
      <c r="G56" s="21" t="s">
        <v>141</v>
      </c>
      <c r="H56" s="15" t="n">
        <v>250</v>
      </c>
      <c r="I56" s="15" t="n">
        <v>12</v>
      </c>
      <c r="J56" s="15" t="n">
        <v>160</v>
      </c>
      <c r="K56" s="21" t="s">
        <v>142</v>
      </c>
      <c r="L56" s="15" t="n">
        <v>60</v>
      </c>
      <c r="M56" s="15" t="n">
        <v>8</v>
      </c>
      <c r="N56" s="15" t="n">
        <v>16</v>
      </c>
      <c r="O56" s="15" t="n">
        <v>10</v>
      </c>
      <c r="P56" s="15" t="n">
        <v>4</v>
      </c>
      <c r="Q56" s="15" t="n">
        <v>3</v>
      </c>
      <c r="R56" s="15" t="n">
        <v>8</v>
      </c>
      <c r="S56" s="19" t="n">
        <v>5.5</v>
      </c>
      <c r="T56" s="19" t="n">
        <v>0.9</v>
      </c>
      <c r="U56" s="23" t="s">
        <v>443</v>
      </c>
      <c r="V56" s="23" t="s">
        <v>284</v>
      </c>
      <c r="W56" s="23" t="s">
        <v>444</v>
      </c>
      <c r="X56" s="23" t="s">
        <v>445</v>
      </c>
      <c r="Y56" s="24" t="n">
        <f aca="false">IF(T56=0,0,N56/T56)</f>
        <v>17.7777777777778</v>
      </c>
      <c r="Z56" s="24" t="n">
        <f aca="false">IF(T56=0,0,P56/T56)</f>
        <v>4.44444444444445</v>
      </c>
      <c r="AA56" s="24" t="n">
        <f aca="false">IF(T56=0,0,Q56/T56)</f>
        <v>3.33333333333333</v>
      </c>
      <c r="AB56" s="24" t="n">
        <f aca="false">IF(J56=0,0,H56/J56)</f>
        <v>1.5625</v>
      </c>
      <c r="AC56" s="24" t="str">
        <f aca="false">IF(E56="MBT",H56-MBTTargetCost,"")</f>
        <v/>
      </c>
      <c r="AD56" s="24" t="n">
        <f aca="false">IF(H56=0,0,((J56/10)+(Y56*3)+(Z56*8)+(AA56*6)+(S56*0.4))/(H56/1000)*(1+VetDmgBonus*0.3))</f>
        <v>546.482222222222</v>
      </c>
    </row>
    <row r="57" customFormat="false" ht="15" hidden="false" customHeight="false" outlineLevel="0" collapsed="false">
      <c r="A57" s="16" t="s">
        <v>446</v>
      </c>
      <c r="B57" s="30" t="s">
        <v>440</v>
      </c>
      <c r="C57" s="16" t="s">
        <v>212</v>
      </c>
      <c r="D57" s="18" t="s">
        <v>447</v>
      </c>
      <c r="E57" s="16" t="s">
        <v>149</v>
      </c>
      <c r="F57" s="16" t="s">
        <v>448</v>
      </c>
      <c r="G57" s="16" t="s">
        <v>141</v>
      </c>
      <c r="H57" s="15" t="n">
        <v>480</v>
      </c>
      <c r="I57" s="15" t="n">
        <v>14</v>
      </c>
      <c r="J57" s="15" t="n">
        <v>80</v>
      </c>
      <c r="K57" s="16" t="s">
        <v>142</v>
      </c>
      <c r="L57" s="15" t="n">
        <v>45</v>
      </c>
      <c r="M57" s="15" t="n">
        <v>8</v>
      </c>
      <c r="N57" s="15" t="n">
        <v>3</v>
      </c>
      <c r="O57" s="15" t="n">
        <v>16</v>
      </c>
      <c r="P57" s="15" t="n">
        <v>100</v>
      </c>
      <c r="Q57" s="15" t="n">
        <v>2</v>
      </c>
      <c r="R57" s="15" t="n">
        <v>6</v>
      </c>
      <c r="S57" s="19" t="n">
        <v>8.5</v>
      </c>
      <c r="T57" s="19" t="n">
        <v>5</v>
      </c>
      <c r="U57" s="18" t="s">
        <v>449</v>
      </c>
      <c r="V57" s="18" t="s">
        <v>160</v>
      </c>
      <c r="W57" s="18" t="s">
        <v>381</v>
      </c>
      <c r="X57" s="18"/>
      <c r="Y57" s="20" t="n">
        <f aca="false">IF(T57=0,0,N57/T57)</f>
        <v>0.6</v>
      </c>
      <c r="Z57" s="20" t="n">
        <f aca="false">IF(T57=0,0,P57/T57)</f>
        <v>20</v>
      </c>
      <c r="AA57" s="20" t="n">
        <f aca="false">IF(T57=0,0,Q57/T57)</f>
        <v>0.4</v>
      </c>
      <c r="AB57" s="20" t="n">
        <f aca="false">IF(J57=0,0,H57/J57)</f>
        <v>6</v>
      </c>
      <c r="AC57" s="20" t="str">
        <f aca="false">IF(E57="MBT",H57-MBTTargetCost,"")</f>
        <v/>
      </c>
      <c r="AD57" s="20" t="n">
        <f aca="false">IF(H57=0,0,((J57/10)+(Y57*3)+(Z57*8)+(AA57*6)+(S57*0.4))/(H57/1000)*(1+VetDmgBonus*0.3))</f>
        <v>393.270833333333</v>
      </c>
    </row>
    <row r="58" customFormat="false" ht="15" hidden="false" customHeight="false" outlineLevel="0" collapsed="false">
      <c r="A58" s="21" t="s">
        <v>450</v>
      </c>
      <c r="B58" s="29" t="s">
        <v>440</v>
      </c>
      <c r="C58" s="21" t="s">
        <v>212</v>
      </c>
      <c r="D58" s="23" t="s">
        <v>163</v>
      </c>
      <c r="E58" s="21" t="s">
        <v>163</v>
      </c>
      <c r="F58" s="21" t="s">
        <v>164</v>
      </c>
      <c r="G58" s="21" t="s">
        <v>141</v>
      </c>
      <c r="H58" s="15" t="n">
        <v>500</v>
      </c>
      <c r="I58" s="15" t="n">
        <v>10</v>
      </c>
      <c r="J58" s="15" t="n">
        <v>80</v>
      </c>
      <c r="K58" s="21" t="s">
        <v>142</v>
      </c>
      <c r="L58" s="15" t="n">
        <v>50</v>
      </c>
      <c r="M58" s="15" t="n">
        <v>6</v>
      </c>
      <c r="N58" s="15" t="n">
        <v>0</v>
      </c>
      <c r="O58" s="15" t="n">
        <v>0</v>
      </c>
      <c r="P58" s="15" t="n">
        <v>0</v>
      </c>
      <c r="Q58" s="15" t="n">
        <v>0</v>
      </c>
      <c r="R58" s="15" t="n">
        <v>0</v>
      </c>
      <c r="S58" s="19" t="n">
        <v>2</v>
      </c>
      <c r="T58" s="19" t="n">
        <v>0</v>
      </c>
      <c r="U58" s="23" t="s">
        <v>165</v>
      </c>
      <c r="V58" s="23" t="s">
        <v>291</v>
      </c>
      <c r="W58" s="23" t="s">
        <v>292</v>
      </c>
      <c r="X58" s="23"/>
      <c r="Y58" s="24" t="n">
        <f aca="false">IF(T58=0,0,N58/T58)</f>
        <v>0</v>
      </c>
      <c r="Z58" s="24" t="n">
        <f aca="false">IF(T58=0,0,P58/T58)</f>
        <v>0</v>
      </c>
      <c r="AA58" s="24" t="n">
        <f aca="false">IF(T58=0,0,Q58/T58)</f>
        <v>0</v>
      </c>
      <c r="AB58" s="24" t="n">
        <f aca="false">IF(J58=0,0,H58/J58)</f>
        <v>6.25</v>
      </c>
      <c r="AC58" s="24" t="str">
        <f aca="false">IF(E58="MBT",H58-MBTTargetCost,"")</f>
        <v/>
      </c>
      <c r="AD58" s="24" t="n">
        <f aca="false">IF(H58=0,0,((J58/10)+(Y58*3)+(Z58*8)+(AA58*6)+(S58*0.4))/(H58/1000)*(1+VetDmgBonus*0.3))</f>
        <v>18.92</v>
      </c>
    </row>
    <row r="59" customFormat="false" ht="15" hidden="false" customHeight="false" outlineLevel="0" collapsed="false">
      <c r="A59" s="16" t="s">
        <v>451</v>
      </c>
      <c r="B59" s="30" t="s">
        <v>440</v>
      </c>
      <c r="C59" s="16" t="s">
        <v>212</v>
      </c>
      <c r="D59" s="18" t="s">
        <v>452</v>
      </c>
      <c r="E59" s="16" t="s">
        <v>392</v>
      </c>
      <c r="F59" s="16" t="s">
        <v>453</v>
      </c>
      <c r="G59" s="16" t="s">
        <v>141</v>
      </c>
      <c r="H59" s="15" t="n">
        <v>520</v>
      </c>
      <c r="I59" s="15" t="n">
        <v>10</v>
      </c>
      <c r="J59" s="15" t="n">
        <v>240</v>
      </c>
      <c r="K59" s="16" t="s">
        <v>223</v>
      </c>
      <c r="L59" s="15" t="n">
        <v>100</v>
      </c>
      <c r="M59" s="15" t="n">
        <v>8</v>
      </c>
      <c r="N59" s="15" t="n">
        <v>14</v>
      </c>
      <c r="O59" s="15" t="n">
        <v>16</v>
      </c>
      <c r="P59" s="15" t="n">
        <v>22</v>
      </c>
      <c r="Q59" s="15" t="n">
        <v>4</v>
      </c>
      <c r="R59" s="15" t="n">
        <v>6</v>
      </c>
      <c r="S59" s="19" t="n">
        <v>6</v>
      </c>
      <c r="T59" s="19" t="n">
        <v>1.4</v>
      </c>
      <c r="U59" s="18" t="s">
        <v>454</v>
      </c>
      <c r="V59" s="18" t="s">
        <v>225</v>
      </c>
      <c r="W59" s="18" t="s">
        <v>215</v>
      </c>
      <c r="X59" s="18"/>
      <c r="Y59" s="20" t="n">
        <f aca="false">IF(T59=0,0,N59/T59)</f>
        <v>10</v>
      </c>
      <c r="Z59" s="20" t="n">
        <f aca="false">IF(T59=0,0,P59/T59)</f>
        <v>15.7142857142857</v>
      </c>
      <c r="AA59" s="20" t="n">
        <f aca="false">IF(T59=0,0,Q59/T59)</f>
        <v>2.85714285714286</v>
      </c>
      <c r="AB59" s="20" t="n">
        <f aca="false">IF(J59=0,0,H59/J59)</f>
        <v>2.16666666666667</v>
      </c>
      <c r="AC59" s="20" t="str">
        <f aca="false">IF(E59="MBT",H59-MBTTargetCost,"")</f>
        <v/>
      </c>
      <c r="AD59" s="20" t="n">
        <f aca="false">IF(H59=0,0,((J59/10)+(Y59*3)+(Z59*8)+(AA59*6)+(S59*0.4))/(H59/1000)*(1+VetDmgBonus*0.3))</f>
        <v>411.925824175824</v>
      </c>
    </row>
    <row r="60" customFormat="false" ht="15" hidden="false" customHeight="false" outlineLevel="0" collapsed="false">
      <c r="A60" s="21" t="s">
        <v>455</v>
      </c>
      <c r="B60" s="29" t="s">
        <v>440</v>
      </c>
      <c r="C60" s="21" t="s">
        <v>212</v>
      </c>
      <c r="D60" s="23" t="s">
        <v>456</v>
      </c>
      <c r="E60" s="21" t="s">
        <v>144</v>
      </c>
      <c r="F60" s="21" t="s">
        <v>457</v>
      </c>
      <c r="G60" s="21" t="s">
        <v>141</v>
      </c>
      <c r="H60" s="15" t="n">
        <v>880</v>
      </c>
      <c r="I60" s="15" t="n">
        <v>14</v>
      </c>
      <c r="J60" s="15" t="n">
        <v>450</v>
      </c>
      <c r="K60" s="21" t="s">
        <v>171</v>
      </c>
      <c r="L60" s="15" t="n">
        <v>70</v>
      </c>
      <c r="M60" s="15" t="n">
        <v>8</v>
      </c>
      <c r="N60" s="15" t="n">
        <v>28</v>
      </c>
      <c r="O60" s="15" t="n">
        <v>24</v>
      </c>
      <c r="P60" s="15" t="n">
        <v>32</v>
      </c>
      <c r="Q60" s="15" t="n">
        <v>10</v>
      </c>
      <c r="R60" s="15" t="n">
        <v>14</v>
      </c>
      <c r="S60" s="19" t="n">
        <v>6.5</v>
      </c>
      <c r="T60" s="19" t="n">
        <v>1.3</v>
      </c>
      <c r="U60" s="23" t="s">
        <v>458</v>
      </c>
      <c r="V60" s="23" t="s">
        <v>297</v>
      </c>
      <c r="W60" s="23" t="s">
        <v>139</v>
      </c>
      <c r="X60" s="23"/>
      <c r="Y60" s="24" t="n">
        <f aca="false">IF(T60=0,0,N60/T60)</f>
        <v>21.5384615384615</v>
      </c>
      <c r="Z60" s="24" t="n">
        <f aca="false">IF(T60=0,0,P60/T60)</f>
        <v>24.6153846153846</v>
      </c>
      <c r="AA60" s="24" t="n">
        <f aca="false">IF(T60=0,0,Q60/T60)</f>
        <v>7.69230769230769</v>
      </c>
      <c r="AB60" s="24" t="n">
        <f aca="false">IF(J60=0,0,H60/J60)</f>
        <v>1.95555555555556</v>
      </c>
      <c r="AC60" s="24" t="str">
        <f aca="false">IF(E60="MBT",H60-MBTTargetCost,"")</f>
        <v/>
      </c>
      <c r="AD60" s="24" t="n">
        <f aca="false">IF(H60=0,0,((J60/10)+(Y60*3)+(Z60*8)+(AA60*6)+(S60*0.4))/(H60/1000)*(1+VetDmgBonus*0.3))</f>
        <v>434.021853146853</v>
      </c>
    </row>
    <row r="61" customFormat="false" ht="15" hidden="false" customHeight="false" outlineLevel="0" collapsed="false">
      <c r="A61" s="16" t="s">
        <v>459</v>
      </c>
      <c r="B61" s="30" t="s">
        <v>440</v>
      </c>
      <c r="C61" s="16" t="s">
        <v>212</v>
      </c>
      <c r="D61" s="18" t="s">
        <v>460</v>
      </c>
      <c r="E61" s="16" t="s">
        <v>144</v>
      </c>
      <c r="F61" s="16" t="s">
        <v>461</v>
      </c>
      <c r="G61" s="16" t="s">
        <v>141</v>
      </c>
      <c r="H61" s="15" t="n">
        <v>900</v>
      </c>
      <c r="I61" s="15" t="n">
        <v>14</v>
      </c>
      <c r="J61" s="15" t="n">
        <v>440</v>
      </c>
      <c r="K61" s="16" t="s">
        <v>171</v>
      </c>
      <c r="L61" s="15" t="n">
        <v>82</v>
      </c>
      <c r="M61" s="15" t="n">
        <v>8</v>
      </c>
      <c r="N61" s="15" t="n">
        <v>24</v>
      </c>
      <c r="O61" s="15" t="n">
        <v>20</v>
      </c>
      <c r="P61" s="15" t="n">
        <v>26</v>
      </c>
      <c r="Q61" s="15" t="n">
        <v>10</v>
      </c>
      <c r="R61" s="15" t="n">
        <v>12</v>
      </c>
      <c r="S61" s="19" t="n">
        <v>6.5</v>
      </c>
      <c r="T61" s="19" t="n">
        <v>1.2</v>
      </c>
      <c r="U61" s="18" t="s">
        <v>462</v>
      </c>
      <c r="V61" s="18" t="s">
        <v>173</v>
      </c>
      <c r="W61" s="18" t="s">
        <v>463</v>
      </c>
      <c r="X61" s="18"/>
      <c r="Y61" s="20" t="n">
        <f aca="false">IF(T61=0,0,N61/T61)</f>
        <v>20</v>
      </c>
      <c r="Z61" s="20" t="n">
        <f aca="false">IF(T61=0,0,P61/T61)</f>
        <v>21.6666666666667</v>
      </c>
      <c r="AA61" s="20" t="n">
        <f aca="false">IF(T61=0,0,Q61/T61)</f>
        <v>8.33333333333333</v>
      </c>
      <c r="AB61" s="20" t="n">
        <f aca="false">IF(J61=0,0,H61/J61)</f>
        <v>2.04545454545455</v>
      </c>
      <c r="AC61" s="20" t="str">
        <f aca="false">IF(E61="MBT",H61-MBTTargetCost,"")</f>
        <v/>
      </c>
      <c r="AD61" s="20" t="n">
        <f aca="false">IF(H61=0,0,((J61/10)+(Y61*3)+(Z61*8)+(AA61*6)+(S61*0.4))/(H61/1000)*(1+VetDmgBonus*0.3))</f>
        <v>394.087037037037</v>
      </c>
    </row>
    <row r="62" customFormat="false" ht="15" hidden="false" customHeight="false" outlineLevel="0" collapsed="false">
      <c r="A62" s="21" t="s">
        <v>464</v>
      </c>
      <c r="B62" s="29" t="s">
        <v>440</v>
      </c>
      <c r="C62" s="21" t="s">
        <v>212</v>
      </c>
      <c r="D62" s="23" t="s">
        <v>465</v>
      </c>
      <c r="E62" s="21" t="s">
        <v>185</v>
      </c>
      <c r="F62" s="21" t="s">
        <v>466</v>
      </c>
      <c r="G62" s="21" t="s">
        <v>141</v>
      </c>
      <c r="H62" s="15" t="n">
        <v>1700</v>
      </c>
      <c r="I62" s="15" t="n">
        <v>20</v>
      </c>
      <c r="J62" s="15" t="n">
        <v>1100</v>
      </c>
      <c r="K62" s="21" t="s">
        <v>179</v>
      </c>
      <c r="L62" s="15" t="n">
        <v>75</v>
      </c>
      <c r="M62" s="15" t="n">
        <v>8</v>
      </c>
      <c r="N62" s="15" t="n">
        <v>20</v>
      </c>
      <c r="O62" s="15" t="n">
        <v>34</v>
      </c>
      <c r="P62" s="15" t="n">
        <v>84</v>
      </c>
      <c r="Q62" s="15" t="n">
        <v>6</v>
      </c>
      <c r="R62" s="15" t="n">
        <v>22</v>
      </c>
      <c r="S62" s="19" t="n">
        <v>8</v>
      </c>
      <c r="T62" s="19" t="n">
        <v>1.5</v>
      </c>
      <c r="U62" s="23" t="s">
        <v>467</v>
      </c>
      <c r="V62" s="23" t="s">
        <v>188</v>
      </c>
      <c r="W62" s="23" t="s">
        <v>468</v>
      </c>
      <c r="X62" s="23" t="s">
        <v>469</v>
      </c>
      <c r="Y62" s="24" t="n">
        <f aca="false">IF(T62=0,0,N62/T62)</f>
        <v>13.3333333333333</v>
      </c>
      <c r="Z62" s="24" t="n">
        <f aca="false">IF(T62=0,0,P62/T62)</f>
        <v>56</v>
      </c>
      <c r="AA62" s="24" t="n">
        <f aca="false">IF(T62=0,0,Q62/T62)</f>
        <v>4</v>
      </c>
      <c r="AB62" s="24" t="n">
        <f aca="false">IF(J62=0,0,H62/J62)</f>
        <v>1.54545454545455</v>
      </c>
      <c r="AC62" s="24" t="n">
        <f aca="false">IF(E62="MBT",H62-MBTTargetCost,"")</f>
        <v>200</v>
      </c>
      <c r="AD62" s="24" t="n">
        <f aca="false">IF(H62=0,0,((J62/10)+(Y62*3)+(Z62*8)+(AA62*6)+(S62*0.4))/(H62/1000)*(1+VetDmgBonus*0.3))</f>
        <v>395.347058823529</v>
      </c>
    </row>
    <row r="63" customFormat="false" ht="15" hidden="false" customHeight="false" outlineLevel="0" collapsed="false">
      <c r="A63" s="16" t="s">
        <v>470</v>
      </c>
      <c r="B63" s="30" t="s">
        <v>440</v>
      </c>
      <c r="C63" s="16" t="s">
        <v>212</v>
      </c>
      <c r="D63" s="18" t="s">
        <v>471</v>
      </c>
      <c r="E63" s="16" t="s">
        <v>192</v>
      </c>
      <c r="F63" s="16" t="s">
        <v>472</v>
      </c>
      <c r="G63" s="16" t="s">
        <v>141</v>
      </c>
      <c r="H63" s="15" t="n">
        <v>1400</v>
      </c>
      <c r="I63" s="15" t="n">
        <v>18</v>
      </c>
      <c r="J63" s="15" t="n">
        <v>460</v>
      </c>
      <c r="K63" s="16" t="s">
        <v>171</v>
      </c>
      <c r="L63" s="15" t="n">
        <v>70</v>
      </c>
      <c r="M63" s="15" t="n">
        <v>10</v>
      </c>
      <c r="N63" s="15" t="n">
        <v>40</v>
      </c>
      <c r="O63" s="15" t="n">
        <v>45</v>
      </c>
      <c r="P63" s="15" t="n">
        <v>52</v>
      </c>
      <c r="Q63" s="15" t="n">
        <v>8</v>
      </c>
      <c r="R63" s="15" t="n">
        <v>100</v>
      </c>
      <c r="S63" s="19" t="n">
        <v>16</v>
      </c>
      <c r="T63" s="19" t="n">
        <v>6.5</v>
      </c>
      <c r="U63" s="18" t="s">
        <v>180</v>
      </c>
      <c r="V63" s="18" t="s">
        <v>200</v>
      </c>
      <c r="W63" s="18" t="s">
        <v>218</v>
      </c>
      <c r="X63" s="18"/>
      <c r="Y63" s="20" t="n">
        <f aca="false">IF(T63=0,0,N63/T63)</f>
        <v>6.15384615384615</v>
      </c>
      <c r="Z63" s="20" t="n">
        <f aca="false">IF(T63=0,0,P63/T63)</f>
        <v>8</v>
      </c>
      <c r="AA63" s="20" t="n">
        <f aca="false">IF(T63=0,0,Q63/T63)</f>
        <v>1.23076923076923</v>
      </c>
      <c r="AB63" s="20" t="n">
        <f aca="false">IF(J63=0,0,H63/J63)</f>
        <v>3.04347826086957</v>
      </c>
      <c r="AC63" s="20" t="str">
        <f aca="false">IF(E63="MBT",H63-MBTTargetCost,"")</f>
        <v/>
      </c>
      <c r="AD63" s="20" t="n">
        <f aca="false">IF(H63=0,0,((J63/10)+(Y63*3)+(Z63*8)+(AA63*6)+(S63*0.4))/(H63/1000)*(1+VetDmgBonus*0.3))</f>
        <v>109.224725274725</v>
      </c>
    </row>
    <row r="64" customFormat="false" ht="15" hidden="false" customHeight="false" outlineLevel="0" collapsed="false">
      <c r="A64" s="21" t="s">
        <v>473</v>
      </c>
      <c r="B64" s="29" t="s">
        <v>440</v>
      </c>
      <c r="C64" s="21" t="s">
        <v>212</v>
      </c>
      <c r="D64" s="23" t="s">
        <v>474</v>
      </c>
      <c r="E64" s="21" t="s">
        <v>236</v>
      </c>
      <c r="F64" s="21" t="s">
        <v>475</v>
      </c>
      <c r="G64" s="21" t="s">
        <v>141</v>
      </c>
      <c r="H64" s="15" t="n">
        <v>1700</v>
      </c>
      <c r="I64" s="15" t="n">
        <v>20</v>
      </c>
      <c r="J64" s="15" t="n">
        <v>360</v>
      </c>
      <c r="K64" s="21" t="s">
        <v>223</v>
      </c>
      <c r="L64" s="15" t="n">
        <v>80</v>
      </c>
      <c r="M64" s="15" t="n">
        <v>11</v>
      </c>
      <c r="N64" s="15" t="n">
        <v>40</v>
      </c>
      <c r="O64" s="15" t="n">
        <v>50</v>
      </c>
      <c r="P64" s="15" t="n">
        <v>70</v>
      </c>
      <c r="Q64" s="15" t="n">
        <v>10</v>
      </c>
      <c r="R64" s="15" t="n">
        <v>90</v>
      </c>
      <c r="S64" s="19" t="n">
        <v>22</v>
      </c>
      <c r="T64" s="19" t="n">
        <v>9</v>
      </c>
      <c r="U64" s="23" t="s">
        <v>476</v>
      </c>
      <c r="V64" s="23" t="s">
        <v>477</v>
      </c>
      <c r="W64" s="23" t="s">
        <v>478</v>
      </c>
      <c r="X64" s="23" t="s">
        <v>479</v>
      </c>
      <c r="Y64" s="24" t="n">
        <f aca="false">IF(T64=0,0,N64/T64)</f>
        <v>4.44444444444445</v>
      </c>
      <c r="Z64" s="24" t="n">
        <f aca="false">IF(T64=0,0,P64/T64)</f>
        <v>7.77777777777778</v>
      </c>
      <c r="AA64" s="24" t="n">
        <f aca="false">IF(T64=0,0,Q64/T64)</f>
        <v>1.11111111111111</v>
      </c>
      <c r="AB64" s="24" t="n">
        <f aca="false">IF(J64=0,0,H64/J64)</f>
        <v>4.72222222222222</v>
      </c>
      <c r="AC64" s="24" t="str">
        <f aca="false">IF(E64="MBT",H64-MBTTargetCost,"")</f>
        <v/>
      </c>
      <c r="AD64" s="24" t="n">
        <f aca="false">IF(H64=0,0,((J64/10)+(Y64*3)+(Z64*8)+(AA64*6)+(S64*0.4))/(H64/1000)*(1+VetDmgBonus*0.3))</f>
        <v>80.3228758169935</v>
      </c>
    </row>
    <row r="65" customFormat="false" ht="15" hidden="false" customHeight="false" outlineLevel="0" collapsed="false">
      <c r="A65" s="16" t="s">
        <v>480</v>
      </c>
      <c r="B65" s="30" t="s">
        <v>440</v>
      </c>
      <c r="C65" s="16" t="s">
        <v>212</v>
      </c>
      <c r="D65" s="18" t="s">
        <v>481</v>
      </c>
      <c r="E65" s="16" t="s">
        <v>198</v>
      </c>
      <c r="F65" s="16" t="s">
        <v>199</v>
      </c>
      <c r="G65" s="16" t="s">
        <v>200</v>
      </c>
      <c r="H65" s="15" t="n">
        <v>1650</v>
      </c>
      <c r="I65" s="15" t="n">
        <v>18</v>
      </c>
      <c r="J65" s="15" t="n">
        <v>380</v>
      </c>
      <c r="K65" s="16" t="s">
        <v>200</v>
      </c>
      <c r="L65" s="15" t="n">
        <v>95</v>
      </c>
      <c r="M65" s="15" t="n">
        <v>10</v>
      </c>
      <c r="N65" s="15" t="n">
        <v>10</v>
      </c>
      <c r="O65" s="15" t="n">
        <v>20</v>
      </c>
      <c r="P65" s="15" t="n">
        <v>88</v>
      </c>
      <c r="Q65" s="15" t="n">
        <v>8</v>
      </c>
      <c r="R65" s="15" t="n">
        <v>8</v>
      </c>
      <c r="S65" s="19" t="n">
        <v>8</v>
      </c>
      <c r="T65" s="19" t="n">
        <v>3</v>
      </c>
      <c r="U65" s="18" t="s">
        <v>180</v>
      </c>
      <c r="V65" s="18" t="s">
        <v>245</v>
      </c>
      <c r="W65" s="18" t="s">
        <v>381</v>
      </c>
      <c r="X65" s="18"/>
      <c r="Y65" s="20" t="n">
        <f aca="false">IF(T65=0,0,N65/T65)</f>
        <v>3.33333333333333</v>
      </c>
      <c r="Z65" s="20" t="n">
        <f aca="false">IF(T65=0,0,P65/T65)</f>
        <v>29.3333333333333</v>
      </c>
      <c r="AA65" s="20" t="n">
        <f aca="false">IF(T65=0,0,Q65/T65)</f>
        <v>2.66666666666667</v>
      </c>
      <c r="AB65" s="20" t="n">
        <f aca="false">IF(J65=0,0,H65/J65)</f>
        <v>4.3421052631579</v>
      </c>
      <c r="AC65" s="20" t="str">
        <f aca="false">IF(E65="MBT",H65-MBTTargetCost,"")</f>
        <v/>
      </c>
      <c r="AD65" s="20" t="n">
        <f aca="false">IF(H65=0,0,((J65/10)+(Y65*3)+(Z65*8)+(AA65*6)+(S65*0.4))/(H65/1000)*(1+VetDmgBonus*0.3))</f>
        <v>196.670707070707</v>
      </c>
    </row>
    <row r="66" customFormat="false" ht="15" hidden="false" customHeight="false" outlineLevel="0" collapsed="false">
      <c r="A66" s="21" t="s">
        <v>482</v>
      </c>
      <c r="B66" s="29" t="s">
        <v>440</v>
      </c>
      <c r="C66" s="21" t="s">
        <v>212</v>
      </c>
      <c r="D66" s="23" t="s">
        <v>483</v>
      </c>
      <c r="E66" s="21" t="s">
        <v>419</v>
      </c>
      <c r="F66" s="21" t="s">
        <v>484</v>
      </c>
      <c r="G66" s="21" t="s">
        <v>200</v>
      </c>
      <c r="H66" s="15" t="n">
        <v>1400</v>
      </c>
      <c r="I66" s="15" t="n">
        <v>18</v>
      </c>
      <c r="J66" s="15" t="n">
        <v>420</v>
      </c>
      <c r="K66" s="21" t="s">
        <v>200</v>
      </c>
      <c r="L66" s="15" t="n">
        <v>92</v>
      </c>
      <c r="M66" s="15" t="n">
        <v>8</v>
      </c>
      <c r="N66" s="15" t="n">
        <v>8</v>
      </c>
      <c r="O66" s="15" t="n">
        <v>6</v>
      </c>
      <c r="P66" s="15" t="n">
        <v>4</v>
      </c>
      <c r="Q66" s="15" t="n">
        <v>4</v>
      </c>
      <c r="R66" s="15" t="n">
        <v>4</v>
      </c>
      <c r="S66" s="19" t="n">
        <v>4</v>
      </c>
      <c r="T66" s="19" t="n">
        <v>1.6</v>
      </c>
      <c r="U66" s="23" t="s">
        <v>485</v>
      </c>
      <c r="V66" s="23" t="s">
        <v>158</v>
      </c>
      <c r="W66" s="23" t="s">
        <v>486</v>
      </c>
      <c r="X66" s="23"/>
      <c r="Y66" s="24" t="n">
        <f aca="false">IF(T66=0,0,N66/T66)</f>
        <v>5</v>
      </c>
      <c r="Z66" s="24" t="n">
        <f aca="false">IF(T66=0,0,P66/T66)</f>
        <v>2.5</v>
      </c>
      <c r="AA66" s="24" t="n">
        <f aca="false">IF(T66=0,0,Q66/T66)</f>
        <v>2.5</v>
      </c>
      <c r="AB66" s="24" t="n">
        <f aca="false">IF(J66=0,0,H66/J66)</f>
        <v>3.33333333333333</v>
      </c>
      <c r="AC66" s="24" t="str">
        <f aca="false">IF(E66="MBT",H66-MBTTargetCost,"")</f>
        <v/>
      </c>
      <c r="AD66" s="24" t="n">
        <f aca="false">IF(H66=0,0,((J66/10)+(Y66*3)+(Z66*8)+(AA66*6)+(S66*0.4))/(H66/1000)*(1+VetDmgBonus*0.3))</f>
        <v>71.8714285714286</v>
      </c>
    </row>
    <row r="67" customFormat="false" ht="15" hidden="false" customHeight="false" outlineLevel="0" collapsed="false">
      <c r="A67" s="16" t="s">
        <v>487</v>
      </c>
      <c r="B67" s="30" t="s">
        <v>440</v>
      </c>
      <c r="C67" s="16" t="s">
        <v>212</v>
      </c>
      <c r="D67" s="18" t="s">
        <v>488</v>
      </c>
      <c r="E67" s="16" t="s">
        <v>206</v>
      </c>
      <c r="F67" s="16" t="s">
        <v>489</v>
      </c>
      <c r="G67" s="16" t="s">
        <v>200</v>
      </c>
      <c r="H67" s="15" t="n">
        <v>1850</v>
      </c>
      <c r="I67" s="15" t="n">
        <v>22</v>
      </c>
      <c r="J67" s="15" t="n">
        <v>340</v>
      </c>
      <c r="K67" s="16" t="s">
        <v>200</v>
      </c>
      <c r="L67" s="15" t="n">
        <v>138</v>
      </c>
      <c r="M67" s="15" t="n">
        <v>12</v>
      </c>
      <c r="N67" s="15" t="n">
        <v>10</v>
      </c>
      <c r="O67" s="15" t="n">
        <v>16</v>
      </c>
      <c r="P67" s="15" t="n">
        <v>46</v>
      </c>
      <c r="Q67" s="15" t="n">
        <v>60</v>
      </c>
      <c r="R67" s="15" t="n">
        <v>20</v>
      </c>
      <c r="S67" s="19" t="n">
        <v>13</v>
      </c>
      <c r="T67" s="19" t="n">
        <v>3.1</v>
      </c>
      <c r="U67" s="18" t="s">
        <v>490</v>
      </c>
      <c r="V67" s="18" t="s">
        <v>491</v>
      </c>
      <c r="W67" s="18" t="s">
        <v>492</v>
      </c>
      <c r="X67" s="18" t="s">
        <v>429</v>
      </c>
      <c r="Y67" s="20" t="n">
        <f aca="false">IF(T67=0,0,N67/T67)</f>
        <v>3.2258064516129</v>
      </c>
      <c r="Z67" s="20" t="n">
        <f aca="false">IF(T67=0,0,P67/T67)</f>
        <v>14.8387096774194</v>
      </c>
      <c r="AA67" s="20" t="n">
        <f aca="false">IF(T67=0,0,Q67/T67)</f>
        <v>19.3548387096774</v>
      </c>
      <c r="AB67" s="20" t="n">
        <f aca="false">IF(J67=0,0,H67/J67)</f>
        <v>5.44117647058824</v>
      </c>
      <c r="AC67" s="20" t="str">
        <f aca="false">IF(E67="MBT",H67-MBTTargetCost,"")</f>
        <v/>
      </c>
      <c r="AD67" s="20" t="n">
        <f aca="false">IF(H67=0,0,((J67/10)+(Y67*3)+(Z67*8)+(AA67*6)+(S67*0.4))/(H67/1000)*(1+VetDmgBonus*0.3))</f>
        <v>164.862074978204</v>
      </c>
    </row>
    <row r="68" customFormat="false" ht="15" hidden="false" customHeight="false" outlineLevel="0" collapsed="false">
      <c r="A68" s="21" t="s">
        <v>493</v>
      </c>
      <c r="B68" s="29" t="s">
        <v>440</v>
      </c>
      <c r="C68" s="21" t="s">
        <v>212</v>
      </c>
      <c r="D68" s="23" t="s">
        <v>494</v>
      </c>
      <c r="E68" s="21" t="s">
        <v>206</v>
      </c>
      <c r="F68" s="21" t="s">
        <v>495</v>
      </c>
      <c r="G68" s="21" t="s">
        <v>200</v>
      </c>
      <c r="H68" s="15" t="n">
        <v>1450</v>
      </c>
      <c r="I68" s="15" t="n">
        <v>18</v>
      </c>
      <c r="J68" s="15" t="n">
        <v>300</v>
      </c>
      <c r="K68" s="21" t="s">
        <v>200</v>
      </c>
      <c r="L68" s="15" t="n">
        <v>136</v>
      </c>
      <c r="M68" s="15" t="n">
        <v>11</v>
      </c>
      <c r="N68" s="15" t="n">
        <v>8</v>
      </c>
      <c r="O68" s="15" t="n">
        <v>12</v>
      </c>
      <c r="P68" s="15" t="n">
        <v>32</v>
      </c>
      <c r="Q68" s="15" t="n">
        <v>55</v>
      </c>
      <c r="R68" s="15" t="n">
        <v>14</v>
      </c>
      <c r="S68" s="19" t="n">
        <v>11</v>
      </c>
      <c r="T68" s="19" t="n">
        <v>3.2</v>
      </c>
      <c r="U68" s="23" t="s">
        <v>496</v>
      </c>
      <c r="V68" s="23" t="s">
        <v>497</v>
      </c>
      <c r="W68" s="23" t="s">
        <v>354</v>
      </c>
      <c r="X68" s="23"/>
      <c r="Y68" s="24" t="n">
        <f aca="false">IF(T68=0,0,N68/T68)</f>
        <v>2.5</v>
      </c>
      <c r="Z68" s="24" t="n">
        <f aca="false">IF(T68=0,0,P68/T68)</f>
        <v>10</v>
      </c>
      <c r="AA68" s="24" t="n">
        <f aca="false">IF(T68=0,0,Q68/T68)</f>
        <v>17.1875</v>
      </c>
      <c r="AB68" s="24" t="n">
        <f aca="false">IF(J68=0,0,H68/J68)</f>
        <v>4.83333333333333</v>
      </c>
      <c r="AC68" s="24" t="str">
        <f aca="false">IF(E68="MBT",H68-MBTTargetCost,"")</f>
        <v/>
      </c>
      <c r="AD68" s="24" t="n">
        <f aca="false">IF(H68=0,0,((J68/10)+(Y68*3)+(Z68*8)+(AA68*6)+(S68*0.4))/(H68/1000)*(1+VetDmgBonus*0.3))</f>
        <v>166.828879310345</v>
      </c>
    </row>
    <row r="69" customFormat="false" ht="15" hidden="false" customHeight="false" outlineLevel="0" collapsed="false">
      <c r="A69" s="16" t="s">
        <v>498</v>
      </c>
      <c r="B69" s="30" t="s">
        <v>440</v>
      </c>
      <c r="C69" s="16" t="s">
        <v>212</v>
      </c>
      <c r="D69" s="18" t="s">
        <v>499</v>
      </c>
      <c r="E69" s="16" t="s">
        <v>206</v>
      </c>
      <c r="F69" s="16" t="s">
        <v>500</v>
      </c>
      <c r="G69" s="16" t="s">
        <v>200</v>
      </c>
      <c r="H69" s="15" t="n">
        <v>2050</v>
      </c>
      <c r="I69" s="15" t="n">
        <v>26</v>
      </c>
      <c r="J69" s="15" t="n">
        <v>360</v>
      </c>
      <c r="K69" s="16" t="s">
        <v>200</v>
      </c>
      <c r="L69" s="15" t="n">
        <v>136</v>
      </c>
      <c r="M69" s="15" t="n">
        <v>12</v>
      </c>
      <c r="N69" s="15" t="n">
        <v>10</v>
      </c>
      <c r="O69" s="15" t="n">
        <v>16</v>
      </c>
      <c r="P69" s="15" t="n">
        <v>50</v>
      </c>
      <c r="Q69" s="15" t="n">
        <v>64</v>
      </c>
      <c r="R69" s="15" t="n">
        <v>22</v>
      </c>
      <c r="S69" s="19" t="n">
        <v>13</v>
      </c>
      <c r="T69" s="19" t="n">
        <v>3.2</v>
      </c>
      <c r="U69" s="18" t="s">
        <v>501</v>
      </c>
      <c r="V69" s="18" t="s">
        <v>251</v>
      </c>
      <c r="W69" s="18" t="s">
        <v>252</v>
      </c>
      <c r="X69" s="18" t="s">
        <v>502</v>
      </c>
      <c r="Y69" s="20" t="n">
        <f aca="false">IF(T69=0,0,N69/T69)</f>
        <v>3.125</v>
      </c>
      <c r="Z69" s="20" t="n">
        <f aca="false">IF(T69=0,0,P69/T69)</f>
        <v>15.625</v>
      </c>
      <c r="AA69" s="20" t="n">
        <f aca="false">IF(T69=0,0,Q69/T69)</f>
        <v>20</v>
      </c>
      <c r="AB69" s="20" t="n">
        <f aca="false">IF(J69=0,0,H69/J69)</f>
        <v>5.69444444444445</v>
      </c>
      <c r="AC69" s="20" t="str">
        <f aca="false">IF(E69="MBT",H69-MBTTargetCost,"")</f>
        <v/>
      </c>
      <c r="AD69" s="20" t="n">
        <f aca="false">IF(H69=0,0,((J69/10)+(Y69*3)+(Z69*8)+(AA69*6)+(S69*0.4))/(H69/1000)*(1+VetDmgBonus*0.3))</f>
        <v>154.996646341463</v>
      </c>
    </row>
    <row r="70" customFormat="false" ht="15" hidden="false" customHeight="false" outlineLevel="0" collapsed="false">
      <c r="A70" s="21" t="s">
        <v>503</v>
      </c>
      <c r="B70" s="29" t="s">
        <v>440</v>
      </c>
      <c r="C70" s="21" t="s">
        <v>212</v>
      </c>
      <c r="D70" s="23" t="s">
        <v>504</v>
      </c>
      <c r="E70" s="21" t="s">
        <v>261</v>
      </c>
      <c r="F70" s="21" t="s">
        <v>505</v>
      </c>
      <c r="G70" s="21" t="s">
        <v>263</v>
      </c>
      <c r="H70" s="15" t="n">
        <v>2200</v>
      </c>
      <c r="I70" s="15" t="n">
        <v>26</v>
      </c>
      <c r="J70" s="15" t="n">
        <v>900</v>
      </c>
      <c r="K70" s="21" t="s">
        <v>261</v>
      </c>
      <c r="L70" s="15" t="n">
        <v>62</v>
      </c>
      <c r="M70" s="15" t="n">
        <v>12</v>
      </c>
      <c r="N70" s="15" t="n">
        <v>12</v>
      </c>
      <c r="O70" s="15" t="n">
        <v>16</v>
      </c>
      <c r="P70" s="15" t="n">
        <v>20</v>
      </c>
      <c r="Q70" s="15" t="n">
        <v>40</v>
      </c>
      <c r="R70" s="15" t="n">
        <v>24</v>
      </c>
      <c r="S70" s="19" t="n">
        <v>12</v>
      </c>
      <c r="T70" s="19" t="n">
        <v>2.8</v>
      </c>
      <c r="U70" s="23" t="s">
        <v>506</v>
      </c>
      <c r="V70" s="23" t="s">
        <v>507</v>
      </c>
      <c r="W70" s="23" t="s">
        <v>508</v>
      </c>
      <c r="X70" s="23"/>
      <c r="Y70" s="24" t="n">
        <f aca="false">IF(T70=0,0,N70/T70)</f>
        <v>4.28571428571429</v>
      </c>
      <c r="Z70" s="24" t="n">
        <f aca="false">IF(T70=0,0,P70/T70)</f>
        <v>7.14285714285714</v>
      </c>
      <c r="AA70" s="24" t="n">
        <f aca="false">IF(T70=0,0,Q70/T70)</f>
        <v>14.2857142857143</v>
      </c>
      <c r="AB70" s="24" t="n">
        <f aca="false">IF(J70=0,0,H70/J70)</f>
        <v>2.44444444444444</v>
      </c>
      <c r="AC70" s="24" t="str">
        <f aca="false">IF(E70="MBT",H70-MBTTargetCost,"")</f>
        <v/>
      </c>
      <c r="AD70" s="24" t="n">
        <f aca="false">IF(H70=0,0,((J70/10)+(Y70*3)+(Z70*8)+(AA70*6)+(S70*0.4))/(H70/1000)*(1+VetDmgBonus*0.3))</f>
        <v>122.41038961039</v>
      </c>
    </row>
    <row r="71" customFormat="false" ht="15" hidden="false" customHeight="false" outlineLevel="0" collapsed="false">
      <c r="A71" s="16" t="s">
        <v>509</v>
      </c>
      <c r="B71" s="31" t="s">
        <v>510</v>
      </c>
      <c r="C71" s="16" t="s">
        <v>511</v>
      </c>
      <c r="D71" s="18" t="s">
        <v>512</v>
      </c>
      <c r="E71" s="16" t="s">
        <v>139</v>
      </c>
      <c r="F71" s="16" t="s">
        <v>140</v>
      </c>
      <c r="G71" s="16" t="s">
        <v>141</v>
      </c>
      <c r="H71" s="15" t="n">
        <v>155</v>
      </c>
      <c r="I71" s="15" t="n">
        <v>8</v>
      </c>
      <c r="J71" s="15" t="n">
        <v>122</v>
      </c>
      <c r="K71" s="16" t="s">
        <v>142</v>
      </c>
      <c r="L71" s="15" t="n">
        <v>55</v>
      </c>
      <c r="M71" s="15" t="n">
        <v>7</v>
      </c>
      <c r="N71" s="15" t="n">
        <v>12</v>
      </c>
      <c r="O71" s="15" t="n">
        <v>7</v>
      </c>
      <c r="P71" s="15" t="n">
        <v>3</v>
      </c>
      <c r="Q71" s="15" t="n">
        <v>1</v>
      </c>
      <c r="R71" s="15" t="n">
        <v>5</v>
      </c>
      <c r="S71" s="19" t="n">
        <v>5.5</v>
      </c>
      <c r="T71" s="19" t="n">
        <v>1</v>
      </c>
      <c r="U71" s="18" t="s">
        <v>513</v>
      </c>
      <c r="V71" s="18" t="s">
        <v>144</v>
      </c>
      <c r="W71" s="18" t="s">
        <v>372</v>
      </c>
      <c r="X71" s="18"/>
      <c r="Y71" s="20" t="n">
        <f aca="false">IF(T71=0,0,N71/T71)</f>
        <v>12</v>
      </c>
      <c r="Z71" s="20" t="n">
        <f aca="false">IF(T71=0,0,P71/T71)</f>
        <v>3</v>
      </c>
      <c r="AA71" s="20" t="n">
        <f aca="false">IF(T71=0,0,Q71/T71)</f>
        <v>1</v>
      </c>
      <c r="AB71" s="20" t="n">
        <f aca="false">IF(J71=0,0,H71/J71)</f>
        <v>1.27049180327869</v>
      </c>
      <c r="AC71" s="20" t="str">
        <f aca="false">IF(E71="MBT",H71-MBTTargetCost,"")</f>
        <v/>
      </c>
      <c r="AD71" s="20" t="n">
        <f aca="false">IF(H71=0,0,((J71/10)+(Y71*3)+(Z71*8)+(AA71*6)+(S71*0.4))/(H71/1000)*(1+VetDmgBonus*0.3))</f>
        <v>557.612903225807</v>
      </c>
    </row>
    <row r="72" customFormat="false" ht="15" hidden="false" customHeight="false" outlineLevel="0" collapsed="false">
      <c r="A72" s="21" t="s">
        <v>514</v>
      </c>
      <c r="B72" s="32" t="s">
        <v>510</v>
      </c>
      <c r="C72" s="21" t="s">
        <v>511</v>
      </c>
      <c r="D72" s="23" t="s">
        <v>515</v>
      </c>
      <c r="E72" s="21" t="s">
        <v>214</v>
      </c>
      <c r="F72" s="21" t="s">
        <v>215</v>
      </c>
      <c r="G72" s="21" t="s">
        <v>141</v>
      </c>
      <c r="H72" s="15" t="n">
        <v>720</v>
      </c>
      <c r="I72" s="15" t="n">
        <v>16</v>
      </c>
      <c r="J72" s="15" t="n">
        <v>145</v>
      </c>
      <c r="K72" s="21" t="s">
        <v>142</v>
      </c>
      <c r="L72" s="15" t="n">
        <v>66</v>
      </c>
      <c r="M72" s="15" t="n">
        <v>8</v>
      </c>
      <c r="N72" s="15" t="n">
        <v>18</v>
      </c>
      <c r="O72" s="15" t="n">
        <v>14</v>
      </c>
      <c r="P72" s="15" t="n">
        <v>26</v>
      </c>
      <c r="Q72" s="15" t="n">
        <v>4</v>
      </c>
      <c r="R72" s="15" t="n">
        <v>10</v>
      </c>
      <c r="S72" s="19" t="n">
        <v>5</v>
      </c>
      <c r="T72" s="19" t="n">
        <v>1.4</v>
      </c>
      <c r="U72" s="23" t="s">
        <v>516</v>
      </c>
      <c r="V72" s="23" t="s">
        <v>517</v>
      </c>
      <c r="W72" s="23" t="s">
        <v>218</v>
      </c>
      <c r="X72" s="23"/>
      <c r="Y72" s="24" t="n">
        <f aca="false">IF(T72=0,0,N72/T72)</f>
        <v>12.8571428571429</v>
      </c>
      <c r="Z72" s="24" t="n">
        <f aca="false">IF(T72=0,0,P72/T72)</f>
        <v>18.5714285714286</v>
      </c>
      <c r="AA72" s="24" t="n">
        <f aca="false">IF(T72=0,0,Q72/T72)</f>
        <v>2.85714285714286</v>
      </c>
      <c r="AB72" s="24" t="n">
        <f aca="false">IF(J72=0,0,H72/J72)</f>
        <v>4.96551724137931</v>
      </c>
      <c r="AC72" s="24" t="str">
        <f aca="false">IF(E72="MBT",H72-MBTTargetCost,"")</f>
        <v/>
      </c>
      <c r="AD72" s="24" t="n">
        <f aca="false">IF(H72=0,0,((J72/10)+(Y72*3)+(Z72*8)+(AA72*6)+(S72*0.4))/(H72/1000)*(1+VetDmgBonus*0.3))</f>
        <v>329.645337301587</v>
      </c>
    </row>
    <row r="73" customFormat="false" ht="15" hidden="false" customHeight="false" outlineLevel="0" collapsed="false">
      <c r="A73" s="16" t="s">
        <v>518</v>
      </c>
      <c r="B73" s="31" t="s">
        <v>510</v>
      </c>
      <c r="C73" s="16" t="s">
        <v>511</v>
      </c>
      <c r="D73" s="18" t="s">
        <v>163</v>
      </c>
      <c r="E73" s="16" t="s">
        <v>163</v>
      </c>
      <c r="F73" s="16" t="s">
        <v>164</v>
      </c>
      <c r="G73" s="16" t="s">
        <v>141</v>
      </c>
      <c r="H73" s="15" t="n">
        <v>500</v>
      </c>
      <c r="I73" s="15" t="n">
        <v>10</v>
      </c>
      <c r="J73" s="15" t="n">
        <v>80</v>
      </c>
      <c r="K73" s="16" t="s">
        <v>142</v>
      </c>
      <c r="L73" s="15" t="n">
        <v>50</v>
      </c>
      <c r="M73" s="15" t="n">
        <v>6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9" t="n">
        <v>2</v>
      </c>
      <c r="T73" s="19" t="n">
        <v>0</v>
      </c>
      <c r="U73" s="18" t="s">
        <v>165</v>
      </c>
      <c r="V73" s="18" t="s">
        <v>291</v>
      </c>
      <c r="W73" s="18" t="s">
        <v>292</v>
      </c>
      <c r="X73" s="18"/>
      <c r="Y73" s="20" t="n">
        <f aca="false">IF(T73=0,0,N73/T73)</f>
        <v>0</v>
      </c>
      <c r="Z73" s="20" t="n">
        <f aca="false">IF(T73=0,0,P73/T73)</f>
        <v>0</v>
      </c>
      <c r="AA73" s="20" t="n">
        <f aca="false">IF(T73=0,0,Q73/T73)</f>
        <v>0</v>
      </c>
      <c r="AB73" s="20" t="n">
        <f aca="false">IF(J73=0,0,H73/J73)</f>
        <v>6.25</v>
      </c>
      <c r="AC73" s="20" t="str">
        <f aca="false">IF(E73="MBT",H73-MBTTargetCost,"")</f>
        <v/>
      </c>
      <c r="AD73" s="20" t="n">
        <f aca="false">IF(H73=0,0,((J73/10)+(Y73*3)+(Z73*8)+(AA73*6)+(S73*0.4))/(H73/1000)*(1+VetDmgBonus*0.3))</f>
        <v>18.92</v>
      </c>
    </row>
    <row r="74" customFormat="false" ht="15" hidden="false" customHeight="false" outlineLevel="0" collapsed="false">
      <c r="A74" s="21" t="s">
        <v>519</v>
      </c>
      <c r="B74" s="32" t="s">
        <v>510</v>
      </c>
      <c r="C74" s="21" t="s">
        <v>511</v>
      </c>
      <c r="D74" s="23" t="s">
        <v>520</v>
      </c>
      <c r="E74" s="21" t="s">
        <v>392</v>
      </c>
      <c r="F74" s="21" t="s">
        <v>325</v>
      </c>
      <c r="G74" s="21" t="s">
        <v>141</v>
      </c>
      <c r="H74" s="15" t="n">
        <v>560</v>
      </c>
      <c r="I74" s="15" t="n">
        <v>10</v>
      </c>
      <c r="J74" s="15" t="n">
        <v>280</v>
      </c>
      <c r="K74" s="21" t="s">
        <v>223</v>
      </c>
      <c r="L74" s="15" t="n">
        <v>82</v>
      </c>
      <c r="M74" s="15" t="n">
        <v>7</v>
      </c>
      <c r="N74" s="15" t="n">
        <v>14</v>
      </c>
      <c r="O74" s="15" t="n">
        <v>8</v>
      </c>
      <c r="P74" s="15" t="n">
        <v>4</v>
      </c>
      <c r="Q74" s="15" t="n">
        <v>2</v>
      </c>
      <c r="R74" s="15" t="n">
        <v>6</v>
      </c>
      <c r="S74" s="19" t="n">
        <v>6</v>
      </c>
      <c r="T74" s="19" t="n">
        <v>1.2</v>
      </c>
      <c r="U74" s="23" t="s">
        <v>180</v>
      </c>
      <c r="V74" s="23" t="s">
        <v>225</v>
      </c>
      <c r="W74" s="23" t="s">
        <v>215</v>
      </c>
      <c r="X74" s="23"/>
      <c r="Y74" s="24" t="n">
        <f aca="false">IF(T74=0,0,N74/T74)</f>
        <v>11.6666666666667</v>
      </c>
      <c r="Z74" s="24" t="n">
        <f aca="false">IF(T74=0,0,P74/T74)</f>
        <v>3.33333333333333</v>
      </c>
      <c r="AA74" s="24" t="n">
        <f aca="false">IF(T74=0,0,Q74/T74)</f>
        <v>1.66666666666667</v>
      </c>
      <c r="AB74" s="24" t="n">
        <f aca="false">IF(J74=0,0,H74/J74)</f>
        <v>2</v>
      </c>
      <c r="AC74" s="24" t="str">
        <f aca="false">IF(E74="MBT",H74-MBTTargetCost,"")</f>
        <v/>
      </c>
      <c r="AD74" s="24" t="n">
        <f aca="false">IF(H74=0,0,((J74/10)+(Y74*3)+(Z74*8)+(AA74*6)+(S74*0.4))/(H74/1000)*(1+VetDmgBonus*0.3))</f>
        <v>195.931547619048</v>
      </c>
    </row>
    <row r="75" customFormat="false" ht="15" hidden="false" customHeight="false" outlineLevel="0" collapsed="false">
      <c r="A75" s="16" t="s">
        <v>521</v>
      </c>
      <c r="B75" s="31" t="s">
        <v>510</v>
      </c>
      <c r="C75" s="16" t="s">
        <v>511</v>
      </c>
      <c r="D75" s="18" t="s">
        <v>522</v>
      </c>
      <c r="E75" s="16" t="s">
        <v>144</v>
      </c>
      <c r="F75" s="16" t="s">
        <v>144</v>
      </c>
      <c r="G75" s="16" t="s">
        <v>141</v>
      </c>
      <c r="H75" s="15" t="n">
        <v>740</v>
      </c>
      <c r="I75" s="15" t="n">
        <v>12</v>
      </c>
      <c r="J75" s="15" t="n">
        <v>400</v>
      </c>
      <c r="K75" s="16" t="s">
        <v>171</v>
      </c>
      <c r="L75" s="15" t="n">
        <v>72</v>
      </c>
      <c r="M75" s="15" t="n">
        <v>8</v>
      </c>
      <c r="N75" s="15" t="n">
        <v>22</v>
      </c>
      <c r="O75" s="15" t="n">
        <v>16</v>
      </c>
      <c r="P75" s="15" t="n">
        <v>20</v>
      </c>
      <c r="Q75" s="15" t="n">
        <v>8</v>
      </c>
      <c r="R75" s="15" t="n">
        <v>10</v>
      </c>
      <c r="S75" s="19" t="n">
        <v>6.5</v>
      </c>
      <c r="T75" s="19" t="n">
        <v>1.2</v>
      </c>
      <c r="U75" s="18" t="s">
        <v>523</v>
      </c>
      <c r="V75" s="18" t="s">
        <v>173</v>
      </c>
      <c r="W75" s="18" t="s">
        <v>139</v>
      </c>
      <c r="X75" s="18"/>
      <c r="Y75" s="20" t="n">
        <f aca="false">IF(T75=0,0,N75/T75)</f>
        <v>18.3333333333333</v>
      </c>
      <c r="Z75" s="20" t="n">
        <f aca="false">IF(T75=0,0,P75/T75)</f>
        <v>16.6666666666667</v>
      </c>
      <c r="AA75" s="20" t="n">
        <f aca="false">IF(T75=0,0,Q75/T75)</f>
        <v>6.66666666666667</v>
      </c>
      <c r="AB75" s="20" t="n">
        <f aca="false">IF(J75=0,0,H75/J75)</f>
        <v>1.85</v>
      </c>
      <c r="AC75" s="20" t="str">
        <f aca="false">IF(E75="MBT",H75-MBTTargetCost,"")</f>
        <v/>
      </c>
      <c r="AD75" s="20" t="n">
        <f aca="false">IF(H75=0,0,((J75/10)+(Y75*3)+(Z75*8)+(AA75*6)+(S75*0.4))/(H75/1000)*(1+VetDmgBonus*0.3))</f>
        <v>393.585585585586</v>
      </c>
    </row>
    <row r="76" customFormat="false" ht="15" hidden="false" customHeight="false" outlineLevel="0" collapsed="false">
      <c r="A76" s="21" t="s">
        <v>524</v>
      </c>
      <c r="B76" s="32" t="s">
        <v>510</v>
      </c>
      <c r="C76" s="21" t="s">
        <v>511</v>
      </c>
      <c r="D76" s="23" t="s">
        <v>525</v>
      </c>
      <c r="E76" s="21" t="s">
        <v>177</v>
      </c>
      <c r="F76" s="21" t="s">
        <v>526</v>
      </c>
      <c r="G76" s="21" t="s">
        <v>141</v>
      </c>
      <c r="H76" s="15" t="n">
        <v>1100</v>
      </c>
      <c r="I76" s="15" t="n">
        <v>14</v>
      </c>
      <c r="J76" s="15" t="n">
        <v>800</v>
      </c>
      <c r="K76" s="21" t="s">
        <v>179</v>
      </c>
      <c r="L76" s="15" t="n">
        <v>58</v>
      </c>
      <c r="M76" s="15" t="n">
        <v>8</v>
      </c>
      <c r="N76" s="15" t="n">
        <v>18</v>
      </c>
      <c r="O76" s="15" t="n">
        <v>30</v>
      </c>
      <c r="P76" s="15" t="n">
        <v>62</v>
      </c>
      <c r="Q76" s="15" t="n">
        <v>4</v>
      </c>
      <c r="R76" s="15" t="n">
        <v>16</v>
      </c>
      <c r="S76" s="19" t="n">
        <v>7</v>
      </c>
      <c r="T76" s="19" t="n">
        <v>2.1</v>
      </c>
      <c r="U76" s="23" t="s">
        <v>180</v>
      </c>
      <c r="V76" s="23" t="s">
        <v>398</v>
      </c>
      <c r="W76" s="23" t="s">
        <v>139</v>
      </c>
      <c r="X76" s="23"/>
      <c r="Y76" s="24" t="n">
        <f aca="false">IF(T76=0,0,N76/T76)</f>
        <v>8.57142857142857</v>
      </c>
      <c r="Z76" s="24" t="n">
        <f aca="false">IF(T76=0,0,P76/T76)</f>
        <v>29.5238095238095</v>
      </c>
      <c r="AA76" s="24" t="n">
        <f aca="false">IF(T76=0,0,Q76/T76)</f>
        <v>1.9047619047619</v>
      </c>
      <c r="AB76" s="24" t="n">
        <f aca="false">IF(J76=0,0,H76/J76)</f>
        <v>1.375</v>
      </c>
      <c r="AC76" s="24" t="str">
        <f aca="false">IF(E76="MBT",H76-MBTTargetCost,"")</f>
        <v/>
      </c>
      <c r="AD76" s="24" t="n">
        <f aca="false">IF(H76=0,0,((J76/10)+(Y76*3)+(Z76*8)+(AA76*6)+(S76*0.4))/(H76/1000)*(1+VetDmgBonus*0.3))</f>
        <v>348.039393939394</v>
      </c>
    </row>
    <row r="77" customFormat="false" ht="15" hidden="false" customHeight="false" outlineLevel="0" collapsed="false">
      <c r="A77" s="16" t="s">
        <v>527</v>
      </c>
      <c r="B77" s="31" t="s">
        <v>510</v>
      </c>
      <c r="C77" s="16" t="s">
        <v>511</v>
      </c>
      <c r="D77" s="18" t="s">
        <v>528</v>
      </c>
      <c r="E77" s="16" t="s">
        <v>185</v>
      </c>
      <c r="F77" s="16" t="s">
        <v>186</v>
      </c>
      <c r="G77" s="16" t="s">
        <v>141</v>
      </c>
      <c r="H77" s="15" t="n">
        <v>1550</v>
      </c>
      <c r="I77" s="15" t="n">
        <v>18</v>
      </c>
      <c r="J77" s="15" t="n">
        <v>1120</v>
      </c>
      <c r="K77" s="16" t="s">
        <v>179</v>
      </c>
      <c r="L77" s="15" t="n">
        <v>68</v>
      </c>
      <c r="M77" s="15" t="n">
        <v>8</v>
      </c>
      <c r="N77" s="15" t="n">
        <v>20</v>
      </c>
      <c r="O77" s="15" t="n">
        <v>34</v>
      </c>
      <c r="P77" s="15" t="n">
        <v>80</v>
      </c>
      <c r="Q77" s="15" t="n">
        <v>6</v>
      </c>
      <c r="R77" s="15" t="n">
        <v>22</v>
      </c>
      <c r="S77" s="19" t="n">
        <v>8</v>
      </c>
      <c r="T77" s="19" t="n">
        <v>2</v>
      </c>
      <c r="U77" s="18" t="s">
        <v>180</v>
      </c>
      <c r="V77" s="18" t="s">
        <v>188</v>
      </c>
      <c r="W77" s="18" t="s">
        <v>529</v>
      </c>
      <c r="X77" s="18" t="s">
        <v>530</v>
      </c>
      <c r="Y77" s="20" t="n">
        <f aca="false">IF(T77=0,0,N77/T77)</f>
        <v>10</v>
      </c>
      <c r="Z77" s="20" t="n">
        <f aca="false">IF(T77=0,0,P77/T77)</f>
        <v>40</v>
      </c>
      <c r="AA77" s="20" t="n">
        <f aca="false">IF(T77=0,0,Q77/T77)</f>
        <v>3</v>
      </c>
      <c r="AB77" s="20" t="n">
        <f aca="false">IF(J77=0,0,H77/J77)</f>
        <v>1.38392857142857</v>
      </c>
      <c r="AC77" s="20" t="n">
        <f aca="false">IF(E77="MBT",H77-MBTTargetCost,"")</f>
        <v>50</v>
      </c>
      <c r="AD77" s="20" t="n">
        <f aca="false">IF(H77=0,0,((J77/10)+(Y77*3)+(Z77*8)+(AA77*6)+(S77*0.4))/(H77/1000)*(1+VetDmgBonus*0.3))</f>
        <v>335.122580645161</v>
      </c>
    </row>
    <row r="78" customFormat="false" ht="15" hidden="false" customHeight="false" outlineLevel="0" collapsed="false">
      <c r="A78" s="21" t="s">
        <v>531</v>
      </c>
      <c r="B78" s="32" t="s">
        <v>510</v>
      </c>
      <c r="C78" s="21" t="s">
        <v>511</v>
      </c>
      <c r="D78" s="23" t="s">
        <v>532</v>
      </c>
      <c r="E78" s="21" t="s">
        <v>185</v>
      </c>
      <c r="F78" s="21" t="s">
        <v>533</v>
      </c>
      <c r="G78" s="21" t="s">
        <v>141</v>
      </c>
      <c r="H78" s="15" t="n">
        <v>1850</v>
      </c>
      <c r="I78" s="15" t="n">
        <v>24</v>
      </c>
      <c r="J78" s="15" t="n">
        <v>1280</v>
      </c>
      <c r="K78" s="21" t="s">
        <v>179</v>
      </c>
      <c r="L78" s="15" t="n">
        <v>66</v>
      </c>
      <c r="M78" s="15" t="n">
        <v>9</v>
      </c>
      <c r="N78" s="15" t="n">
        <v>22</v>
      </c>
      <c r="O78" s="15" t="n">
        <v>36</v>
      </c>
      <c r="P78" s="15" t="n">
        <v>90</v>
      </c>
      <c r="Q78" s="15" t="n">
        <v>8</v>
      </c>
      <c r="R78" s="15" t="n">
        <v>24</v>
      </c>
      <c r="S78" s="19" t="n">
        <v>8.5</v>
      </c>
      <c r="T78" s="19" t="n">
        <v>1.9</v>
      </c>
      <c r="U78" s="23" t="s">
        <v>534</v>
      </c>
      <c r="V78" s="23" t="s">
        <v>535</v>
      </c>
      <c r="W78" s="23" t="s">
        <v>529</v>
      </c>
      <c r="X78" s="23" t="s">
        <v>536</v>
      </c>
      <c r="Y78" s="24" t="n">
        <f aca="false">IF(T78=0,0,N78/T78)</f>
        <v>11.5789473684211</v>
      </c>
      <c r="Z78" s="24" t="n">
        <f aca="false">IF(T78=0,0,P78/T78)</f>
        <v>47.3684210526316</v>
      </c>
      <c r="AA78" s="24" t="n">
        <f aca="false">IF(T78=0,0,Q78/T78)</f>
        <v>4.21052631578947</v>
      </c>
      <c r="AB78" s="24" t="n">
        <f aca="false">IF(J78=0,0,H78/J78)</f>
        <v>1.4453125</v>
      </c>
      <c r="AC78" s="24" t="n">
        <f aca="false">IF(E78="MBT",H78-MBTTargetCost,"")</f>
        <v>350</v>
      </c>
      <c r="AD78" s="24" t="n">
        <f aca="false">IF(H78=0,0,((J78/10)+(Y78*3)+(Z78*8)+(AA78*6)+(S78*0.4))/(H78/1000)*(1+VetDmgBonus*0.3))</f>
        <v>331.418065433855</v>
      </c>
    </row>
    <row r="79" customFormat="false" ht="15" hidden="false" customHeight="false" outlineLevel="0" collapsed="false">
      <c r="A79" s="16" t="s">
        <v>537</v>
      </c>
      <c r="B79" s="31" t="s">
        <v>510</v>
      </c>
      <c r="C79" s="16" t="s">
        <v>511</v>
      </c>
      <c r="D79" s="18" t="s">
        <v>538</v>
      </c>
      <c r="E79" s="16" t="s">
        <v>192</v>
      </c>
      <c r="F79" s="16" t="s">
        <v>539</v>
      </c>
      <c r="G79" s="16" t="s">
        <v>141</v>
      </c>
      <c r="H79" s="15" t="n">
        <v>1250</v>
      </c>
      <c r="I79" s="15" t="n">
        <v>16</v>
      </c>
      <c r="J79" s="15" t="n">
        <v>430</v>
      </c>
      <c r="K79" s="16" t="s">
        <v>171</v>
      </c>
      <c r="L79" s="15" t="n">
        <v>62</v>
      </c>
      <c r="M79" s="15" t="n">
        <v>10</v>
      </c>
      <c r="N79" s="15" t="n">
        <v>36</v>
      </c>
      <c r="O79" s="15" t="n">
        <v>42</v>
      </c>
      <c r="P79" s="15" t="n">
        <v>48</v>
      </c>
      <c r="Q79" s="15" t="n">
        <v>8</v>
      </c>
      <c r="R79" s="15" t="n">
        <v>95</v>
      </c>
      <c r="S79" s="19" t="n">
        <v>15</v>
      </c>
      <c r="T79" s="19" t="n">
        <v>5.8</v>
      </c>
      <c r="U79" s="18" t="s">
        <v>540</v>
      </c>
      <c r="V79" s="18" t="s">
        <v>200</v>
      </c>
      <c r="W79" s="18" t="s">
        <v>218</v>
      </c>
      <c r="X79" s="18"/>
      <c r="Y79" s="20" t="n">
        <f aca="false">IF(T79=0,0,N79/T79)</f>
        <v>6.20689655172414</v>
      </c>
      <c r="Z79" s="20" t="n">
        <f aca="false">IF(T79=0,0,P79/T79)</f>
        <v>8.27586206896552</v>
      </c>
      <c r="AA79" s="20" t="n">
        <f aca="false">IF(T79=0,0,Q79/T79)</f>
        <v>1.37931034482759</v>
      </c>
      <c r="AB79" s="20" t="n">
        <f aca="false">IF(J79=0,0,H79/J79)</f>
        <v>2.90697674418605</v>
      </c>
      <c r="AC79" s="20" t="str">
        <f aca="false">IF(E79="MBT",H79-MBTTargetCost,"")</f>
        <v/>
      </c>
      <c r="AD79" s="20" t="n">
        <f aca="false">IF(H79=0,0,((J79/10)+(Y79*3)+(Z79*8)+(AA79*6)+(S79*0.4))/(H79/1000)*(1+VetDmgBonus*0.3))</f>
        <v>122.208965517241</v>
      </c>
    </row>
    <row r="80" customFormat="false" ht="15" hidden="false" customHeight="false" outlineLevel="0" collapsed="false">
      <c r="A80" s="21" t="s">
        <v>541</v>
      </c>
      <c r="B80" s="32" t="s">
        <v>510</v>
      </c>
      <c r="C80" s="21" t="s">
        <v>511</v>
      </c>
      <c r="D80" s="23" t="s">
        <v>542</v>
      </c>
      <c r="E80" s="21" t="s">
        <v>236</v>
      </c>
      <c r="F80" s="21" t="s">
        <v>543</v>
      </c>
      <c r="G80" s="21" t="s">
        <v>141</v>
      </c>
      <c r="H80" s="15" t="n">
        <v>1350</v>
      </c>
      <c r="I80" s="15" t="n">
        <v>16</v>
      </c>
      <c r="J80" s="15" t="n">
        <v>380</v>
      </c>
      <c r="K80" s="21" t="s">
        <v>171</v>
      </c>
      <c r="L80" s="15" t="n">
        <v>58</v>
      </c>
      <c r="M80" s="15" t="n">
        <v>10</v>
      </c>
      <c r="N80" s="15" t="n">
        <v>60</v>
      </c>
      <c r="O80" s="15" t="n">
        <v>48</v>
      </c>
      <c r="P80" s="15" t="n">
        <v>36</v>
      </c>
      <c r="Q80" s="15" t="n">
        <v>6</v>
      </c>
      <c r="R80" s="15" t="n">
        <v>75</v>
      </c>
      <c r="S80" s="19" t="n">
        <v>18</v>
      </c>
      <c r="T80" s="19" t="n">
        <v>8</v>
      </c>
      <c r="U80" s="23" t="s">
        <v>544</v>
      </c>
      <c r="V80" s="23" t="s">
        <v>200</v>
      </c>
      <c r="W80" s="23" t="s">
        <v>545</v>
      </c>
      <c r="X80" s="23"/>
      <c r="Y80" s="24" t="n">
        <f aca="false">IF(T80=0,0,N80/T80)</f>
        <v>7.5</v>
      </c>
      <c r="Z80" s="24" t="n">
        <f aca="false">IF(T80=0,0,P80/T80)</f>
        <v>4.5</v>
      </c>
      <c r="AA80" s="24" t="n">
        <f aca="false">IF(T80=0,0,Q80/T80)</f>
        <v>0.75</v>
      </c>
      <c r="AB80" s="24" t="n">
        <f aca="false">IF(J80=0,0,H80/J80)</f>
        <v>3.55263157894737</v>
      </c>
      <c r="AC80" s="24" t="str">
        <f aca="false">IF(E80="MBT",H80-MBTTargetCost,"")</f>
        <v/>
      </c>
      <c r="AD80" s="24" t="n">
        <f aca="false">IF(H80=0,0,((J80/10)+(Y80*3)+(Z80*8)+(AA80*6)+(S80*0.4))/(H80/1000)*(1+VetDmgBonus*0.3))</f>
        <v>86.1592592592592</v>
      </c>
    </row>
    <row r="81" customFormat="false" ht="15" hidden="false" customHeight="false" outlineLevel="0" collapsed="false">
      <c r="A81" s="16" t="s">
        <v>546</v>
      </c>
      <c r="B81" s="31" t="s">
        <v>510</v>
      </c>
      <c r="C81" s="16" t="s">
        <v>511</v>
      </c>
      <c r="D81" s="18" t="s">
        <v>547</v>
      </c>
      <c r="E81" s="16" t="s">
        <v>345</v>
      </c>
      <c r="F81" s="16" t="s">
        <v>548</v>
      </c>
      <c r="G81" s="16" t="s">
        <v>141</v>
      </c>
      <c r="H81" s="15" t="n">
        <v>900</v>
      </c>
      <c r="I81" s="15" t="n">
        <v>14</v>
      </c>
      <c r="J81" s="15" t="n">
        <v>340</v>
      </c>
      <c r="K81" s="16" t="s">
        <v>171</v>
      </c>
      <c r="L81" s="15" t="n">
        <v>68</v>
      </c>
      <c r="M81" s="15" t="n">
        <v>10</v>
      </c>
      <c r="N81" s="15" t="n">
        <v>8</v>
      </c>
      <c r="O81" s="15" t="n">
        <v>10</v>
      </c>
      <c r="P81" s="15" t="n">
        <v>8</v>
      </c>
      <c r="Q81" s="15" t="n">
        <v>45</v>
      </c>
      <c r="R81" s="15" t="n">
        <v>8</v>
      </c>
      <c r="S81" s="19" t="n">
        <v>6</v>
      </c>
      <c r="T81" s="19" t="n">
        <v>0.8</v>
      </c>
      <c r="U81" s="18" t="s">
        <v>549</v>
      </c>
      <c r="V81" s="18" t="s">
        <v>550</v>
      </c>
      <c r="W81" s="18" t="s">
        <v>551</v>
      </c>
      <c r="X81" s="18" t="s">
        <v>552</v>
      </c>
      <c r="Y81" s="20" t="n">
        <f aca="false">IF(T81=0,0,N81/T81)</f>
        <v>10</v>
      </c>
      <c r="Z81" s="20" t="n">
        <f aca="false">IF(T81=0,0,P81/T81)</f>
        <v>10</v>
      </c>
      <c r="AA81" s="20" t="n">
        <f aca="false">IF(T81=0,0,Q81/T81)</f>
        <v>56.25</v>
      </c>
      <c r="AB81" s="20" t="n">
        <f aca="false">IF(J81=0,0,H81/J81)</f>
        <v>2.64705882352941</v>
      </c>
      <c r="AC81" s="20" t="str">
        <f aca="false">IF(E81="MBT",H81-MBTTargetCost,"")</f>
        <v/>
      </c>
      <c r="AD81" s="20" t="n">
        <f aca="false">IF(H81=0,0,((J81/10)+(Y81*3)+(Z81*8)+(AA81*6)+(S81*0.4))/(H81/1000)*(1+VetDmgBonus*0.3))</f>
        <v>577.991666666667</v>
      </c>
    </row>
    <row r="82" customFormat="false" ht="15" hidden="false" customHeight="false" outlineLevel="0" collapsed="false">
      <c r="A82" s="21" t="s">
        <v>553</v>
      </c>
      <c r="B82" s="32" t="s">
        <v>510</v>
      </c>
      <c r="C82" s="21" t="s">
        <v>511</v>
      </c>
      <c r="D82" s="23" t="s">
        <v>554</v>
      </c>
      <c r="E82" s="21" t="s">
        <v>198</v>
      </c>
      <c r="F82" s="21" t="s">
        <v>555</v>
      </c>
      <c r="G82" s="21" t="s">
        <v>200</v>
      </c>
      <c r="H82" s="15" t="n">
        <v>1500</v>
      </c>
      <c r="I82" s="15" t="n">
        <v>18</v>
      </c>
      <c r="J82" s="15" t="n">
        <v>360</v>
      </c>
      <c r="K82" s="21" t="s">
        <v>200</v>
      </c>
      <c r="L82" s="15" t="n">
        <v>98</v>
      </c>
      <c r="M82" s="15" t="n">
        <v>10</v>
      </c>
      <c r="N82" s="15" t="n">
        <v>10</v>
      </c>
      <c r="O82" s="15" t="n">
        <v>18</v>
      </c>
      <c r="P82" s="15" t="n">
        <v>80</v>
      </c>
      <c r="Q82" s="15" t="n">
        <v>8</v>
      </c>
      <c r="R82" s="15" t="n">
        <v>8</v>
      </c>
      <c r="S82" s="19" t="n">
        <v>8</v>
      </c>
      <c r="T82" s="19" t="n">
        <v>3</v>
      </c>
      <c r="U82" s="23" t="s">
        <v>556</v>
      </c>
      <c r="V82" s="23" t="s">
        <v>245</v>
      </c>
      <c r="W82" s="23" t="s">
        <v>381</v>
      </c>
      <c r="X82" s="23"/>
      <c r="Y82" s="24" t="n">
        <f aca="false">IF(T82=0,0,N82/T82)</f>
        <v>3.33333333333333</v>
      </c>
      <c r="Z82" s="24" t="n">
        <f aca="false">IF(T82=0,0,P82/T82)</f>
        <v>26.6666666666667</v>
      </c>
      <c r="AA82" s="24" t="n">
        <f aca="false">IF(T82=0,0,Q82/T82)</f>
        <v>2.66666666666667</v>
      </c>
      <c r="AB82" s="24" t="n">
        <f aca="false">IF(J82=0,0,H82/J82)</f>
        <v>4.16666666666667</v>
      </c>
      <c r="AC82" s="24" t="str">
        <f aca="false">IF(E82="MBT",H82-MBTTargetCost,"")</f>
        <v/>
      </c>
      <c r="AD82" s="24" t="n">
        <f aca="false">IF(H82=0,0,((J82/10)+(Y82*3)+(Z82*8)+(AA82*6)+(S82*0.4))/(H82/1000)*(1+VetDmgBonus*0.3))</f>
        <v>199.615555555556</v>
      </c>
    </row>
    <row r="83" customFormat="false" ht="15" hidden="false" customHeight="false" outlineLevel="0" collapsed="false">
      <c r="A83" s="16" t="s">
        <v>557</v>
      </c>
      <c r="B83" s="31" t="s">
        <v>510</v>
      </c>
      <c r="C83" s="16" t="s">
        <v>511</v>
      </c>
      <c r="D83" s="18" t="s">
        <v>558</v>
      </c>
      <c r="E83" s="16" t="s">
        <v>559</v>
      </c>
      <c r="F83" s="16" t="s">
        <v>560</v>
      </c>
      <c r="G83" s="16" t="s">
        <v>200</v>
      </c>
      <c r="H83" s="15" t="n">
        <v>350</v>
      </c>
      <c r="I83" s="15" t="n">
        <v>8</v>
      </c>
      <c r="J83" s="15" t="n">
        <v>90</v>
      </c>
      <c r="K83" s="16" t="s">
        <v>200</v>
      </c>
      <c r="L83" s="15" t="n">
        <v>70</v>
      </c>
      <c r="M83" s="15" t="n">
        <v>14</v>
      </c>
      <c r="N83" s="15" t="n">
        <v>6</v>
      </c>
      <c r="O83" s="15" t="n">
        <v>10</v>
      </c>
      <c r="P83" s="15" t="n">
        <v>18</v>
      </c>
      <c r="Q83" s="15" t="n">
        <v>8</v>
      </c>
      <c r="R83" s="15" t="n">
        <v>8</v>
      </c>
      <c r="S83" s="19" t="n">
        <v>10</v>
      </c>
      <c r="T83" s="19" t="n">
        <v>4</v>
      </c>
      <c r="U83" s="18" t="s">
        <v>561</v>
      </c>
      <c r="V83" s="18" t="s">
        <v>562</v>
      </c>
      <c r="W83" s="18" t="s">
        <v>563</v>
      </c>
      <c r="X83" s="18" t="s">
        <v>564</v>
      </c>
      <c r="Y83" s="20" t="n">
        <f aca="false">IF(T83=0,0,N83/T83)</f>
        <v>1.5</v>
      </c>
      <c r="Z83" s="20" t="n">
        <f aca="false">IF(T83=0,0,P83/T83)</f>
        <v>4.5</v>
      </c>
      <c r="AA83" s="20" t="n">
        <f aca="false">IF(T83=0,0,Q83/T83)</f>
        <v>2</v>
      </c>
      <c r="AB83" s="20" t="n">
        <f aca="false">IF(J83=0,0,H83/J83)</f>
        <v>3.88888888888889</v>
      </c>
      <c r="AC83" s="20" t="str">
        <f aca="false">IF(E83="MBT",H83-MBTTargetCost,"")</f>
        <v/>
      </c>
      <c r="AD83" s="20" t="n">
        <f aca="false">IF(H83=0,0,((J83/10)+(Y83*3)+(Z83*8)+(AA83*6)+(S83*0.4))/(H83/1000)*(1+VetDmgBonus*0.3))</f>
        <v>201.178571428571</v>
      </c>
    </row>
    <row r="84" customFormat="false" ht="15" hidden="false" customHeight="false" outlineLevel="0" collapsed="false">
      <c r="A84" s="21" t="s">
        <v>565</v>
      </c>
      <c r="B84" s="32" t="s">
        <v>510</v>
      </c>
      <c r="C84" s="21" t="s">
        <v>511</v>
      </c>
      <c r="D84" s="23" t="s">
        <v>566</v>
      </c>
      <c r="E84" s="21" t="s">
        <v>559</v>
      </c>
      <c r="F84" s="21" t="s">
        <v>567</v>
      </c>
      <c r="G84" s="21" t="s">
        <v>200</v>
      </c>
      <c r="H84" s="15" t="n">
        <v>1100</v>
      </c>
      <c r="I84" s="15" t="n">
        <v>16</v>
      </c>
      <c r="J84" s="15" t="n">
        <v>220</v>
      </c>
      <c r="K84" s="21" t="s">
        <v>200</v>
      </c>
      <c r="L84" s="15" t="n">
        <v>85</v>
      </c>
      <c r="M84" s="15" t="n">
        <v>14</v>
      </c>
      <c r="N84" s="15" t="n">
        <v>12</v>
      </c>
      <c r="O84" s="15" t="n">
        <v>22</v>
      </c>
      <c r="P84" s="15" t="n">
        <v>55</v>
      </c>
      <c r="Q84" s="15" t="n">
        <v>16</v>
      </c>
      <c r="R84" s="15" t="n">
        <v>16</v>
      </c>
      <c r="S84" s="19" t="n">
        <v>14</v>
      </c>
      <c r="T84" s="19" t="n">
        <v>5</v>
      </c>
      <c r="U84" s="23" t="s">
        <v>568</v>
      </c>
      <c r="V84" s="23" t="s">
        <v>569</v>
      </c>
      <c r="W84" s="23" t="s">
        <v>570</v>
      </c>
      <c r="X84" s="23" t="s">
        <v>333</v>
      </c>
      <c r="Y84" s="24" t="n">
        <f aca="false">IF(T84=0,0,N84/T84)</f>
        <v>2.4</v>
      </c>
      <c r="Z84" s="24" t="n">
        <f aca="false">IF(T84=0,0,P84/T84)</f>
        <v>11</v>
      </c>
      <c r="AA84" s="24" t="n">
        <f aca="false">IF(T84=0,0,Q84/T84)</f>
        <v>3.2</v>
      </c>
      <c r="AB84" s="24" t="n">
        <f aca="false">IF(J84=0,0,H84/J84)</f>
        <v>5</v>
      </c>
      <c r="AC84" s="24" t="str">
        <f aca="false">IF(E84="MBT",H84-MBTTargetCost,"")</f>
        <v/>
      </c>
      <c r="AD84" s="24" t="n">
        <f aca="false">IF(H84=0,0,((J84/10)+(Y84*3)+(Z84*8)+(AA84*6)+(S84*0.4))/(H84/1000)*(1+VetDmgBonus*0.3))</f>
        <v>138.772727272727</v>
      </c>
    </row>
    <row r="85" customFormat="false" ht="15" hidden="false" customHeight="false" outlineLevel="0" collapsed="false">
      <c r="A85" s="16" t="s">
        <v>571</v>
      </c>
      <c r="B85" s="31" t="s">
        <v>510</v>
      </c>
      <c r="C85" s="16" t="s">
        <v>511</v>
      </c>
      <c r="D85" s="18" t="s">
        <v>572</v>
      </c>
      <c r="E85" s="16" t="s">
        <v>206</v>
      </c>
      <c r="F85" s="16" t="s">
        <v>319</v>
      </c>
      <c r="G85" s="16" t="s">
        <v>200</v>
      </c>
      <c r="H85" s="15" t="n">
        <v>1650</v>
      </c>
      <c r="I85" s="15" t="n">
        <v>20</v>
      </c>
      <c r="J85" s="15" t="n">
        <v>320</v>
      </c>
      <c r="K85" s="16" t="s">
        <v>200</v>
      </c>
      <c r="L85" s="15" t="n">
        <v>132</v>
      </c>
      <c r="M85" s="15" t="n">
        <v>12</v>
      </c>
      <c r="N85" s="15" t="n">
        <v>8</v>
      </c>
      <c r="O85" s="15" t="n">
        <v>14</v>
      </c>
      <c r="P85" s="15" t="n">
        <v>40</v>
      </c>
      <c r="Q85" s="15" t="n">
        <v>56</v>
      </c>
      <c r="R85" s="15" t="n">
        <v>18</v>
      </c>
      <c r="S85" s="19" t="n">
        <v>12</v>
      </c>
      <c r="T85" s="19" t="n">
        <v>3.4</v>
      </c>
      <c r="U85" s="18" t="s">
        <v>573</v>
      </c>
      <c r="V85" s="18" t="s">
        <v>353</v>
      </c>
      <c r="W85" s="18" t="s">
        <v>492</v>
      </c>
      <c r="X85" s="18"/>
      <c r="Y85" s="20" t="n">
        <f aca="false">IF(T85=0,0,N85/T85)</f>
        <v>2.35294117647059</v>
      </c>
      <c r="Z85" s="20" t="n">
        <f aca="false">IF(T85=0,0,P85/T85)</f>
        <v>11.7647058823529</v>
      </c>
      <c r="AA85" s="20" t="n">
        <f aca="false">IF(T85=0,0,Q85/T85)</f>
        <v>16.4705882352941</v>
      </c>
      <c r="AB85" s="20" t="n">
        <f aca="false">IF(J85=0,0,H85/J85)</f>
        <v>5.15625</v>
      </c>
      <c r="AC85" s="20" t="str">
        <f aca="false">IF(E85="MBT",H85-MBTTargetCost,"")</f>
        <v/>
      </c>
      <c r="AD85" s="20" t="n">
        <f aca="false">IF(H85=0,0,((J85/10)+(Y85*3)+(Z85*8)+(AA85*6)+(S85*0.4))/(H85/1000)*(1+VetDmgBonus*0.3))</f>
        <v>154.278787878788</v>
      </c>
    </row>
    <row r="86" customFormat="false" ht="15" hidden="false" customHeight="false" outlineLevel="0" collapsed="false">
      <c r="A86" s="21" t="s">
        <v>574</v>
      </c>
      <c r="B86" s="32" t="s">
        <v>510</v>
      </c>
      <c r="C86" s="21" t="s">
        <v>511</v>
      </c>
      <c r="D86" s="23" t="s">
        <v>575</v>
      </c>
      <c r="E86" s="21" t="s">
        <v>357</v>
      </c>
      <c r="F86" s="21" t="s">
        <v>495</v>
      </c>
      <c r="G86" s="21" t="s">
        <v>200</v>
      </c>
      <c r="H86" s="15" t="n">
        <v>1300</v>
      </c>
      <c r="I86" s="15" t="n">
        <v>16</v>
      </c>
      <c r="J86" s="15" t="n">
        <v>300</v>
      </c>
      <c r="K86" s="21" t="s">
        <v>200</v>
      </c>
      <c r="L86" s="15" t="n">
        <v>115</v>
      </c>
      <c r="M86" s="15" t="n">
        <v>10</v>
      </c>
      <c r="N86" s="15" t="n">
        <v>14</v>
      </c>
      <c r="O86" s="15" t="n">
        <v>20</v>
      </c>
      <c r="P86" s="15" t="n">
        <v>40</v>
      </c>
      <c r="Q86" s="15" t="n">
        <v>14</v>
      </c>
      <c r="R86" s="15" t="n">
        <v>32</v>
      </c>
      <c r="S86" s="19" t="n">
        <v>11</v>
      </c>
      <c r="T86" s="19" t="n">
        <v>4</v>
      </c>
      <c r="U86" s="23" t="s">
        <v>576</v>
      </c>
      <c r="V86" s="23" t="s">
        <v>206</v>
      </c>
      <c r="W86" s="23" t="s">
        <v>218</v>
      </c>
      <c r="X86" s="23"/>
      <c r="Y86" s="24" t="n">
        <f aca="false">IF(T86=0,0,N86/T86)</f>
        <v>3.5</v>
      </c>
      <c r="Z86" s="24" t="n">
        <f aca="false">IF(T86=0,0,P86/T86)</f>
        <v>10</v>
      </c>
      <c r="AA86" s="24" t="n">
        <f aca="false">IF(T86=0,0,Q86/T86)</f>
        <v>3.5</v>
      </c>
      <c r="AB86" s="24" t="n">
        <f aca="false">IF(J86=0,0,H86/J86)</f>
        <v>4.33333333333333</v>
      </c>
      <c r="AC86" s="24" t="str">
        <f aca="false">IF(E86="MBT",H86-MBTTargetCost,"")</f>
        <v/>
      </c>
      <c r="AD86" s="24" t="n">
        <f aca="false">IF(H86=0,0,((J86/10)+(Y86*3)+(Z86*8)+(AA86*6)+(S86*0.4))/(H86/1000)*(1+VetDmgBonus*0.3))</f>
        <v>120.648076923077</v>
      </c>
    </row>
    <row r="87" customFormat="false" ht="15" hidden="false" customHeight="false" outlineLevel="0" collapsed="false">
      <c r="A87" s="16" t="s">
        <v>577</v>
      </c>
      <c r="B87" s="31" t="s">
        <v>510</v>
      </c>
      <c r="C87" s="16" t="s">
        <v>511</v>
      </c>
      <c r="D87" s="18" t="s">
        <v>578</v>
      </c>
      <c r="E87" s="16" t="s">
        <v>559</v>
      </c>
      <c r="F87" s="16" t="s">
        <v>579</v>
      </c>
      <c r="G87" s="16" t="s">
        <v>200</v>
      </c>
      <c r="H87" s="15" t="n">
        <v>1400</v>
      </c>
      <c r="I87" s="15" t="n">
        <v>22</v>
      </c>
      <c r="J87" s="15" t="n">
        <v>260</v>
      </c>
      <c r="K87" s="16" t="s">
        <v>200</v>
      </c>
      <c r="L87" s="15" t="n">
        <v>140</v>
      </c>
      <c r="M87" s="15" t="n">
        <v>12</v>
      </c>
      <c r="N87" s="15" t="n">
        <v>8</v>
      </c>
      <c r="O87" s="15" t="n">
        <v>14</v>
      </c>
      <c r="P87" s="15" t="n">
        <v>36</v>
      </c>
      <c r="Q87" s="15" t="n">
        <v>40</v>
      </c>
      <c r="R87" s="15" t="n">
        <v>14</v>
      </c>
      <c r="S87" s="19" t="n">
        <v>12</v>
      </c>
      <c r="T87" s="19" t="n">
        <v>3.5</v>
      </c>
      <c r="U87" s="18" t="s">
        <v>580</v>
      </c>
      <c r="V87" s="18" t="s">
        <v>206</v>
      </c>
      <c r="W87" s="18" t="s">
        <v>581</v>
      </c>
      <c r="X87" s="18" t="s">
        <v>582</v>
      </c>
      <c r="Y87" s="20" t="n">
        <f aca="false">IF(T87=0,0,N87/T87)</f>
        <v>2.28571428571429</v>
      </c>
      <c r="Z87" s="20" t="n">
        <f aca="false">IF(T87=0,0,P87/T87)</f>
        <v>10.2857142857143</v>
      </c>
      <c r="AA87" s="20" t="n">
        <f aca="false">IF(T87=0,0,Q87/T87)</f>
        <v>11.4285714285714</v>
      </c>
      <c r="AB87" s="20" t="n">
        <f aca="false">IF(J87=0,0,H87/J87)</f>
        <v>5.38461538461539</v>
      </c>
      <c r="AC87" s="20" t="str">
        <f aca="false">IF(E87="MBT",H87-MBTTargetCost,"")</f>
        <v/>
      </c>
      <c r="AD87" s="20" t="n">
        <f aca="false">IF(H87=0,0,((J87/10)+(Y87*3)+(Z87*8)+(AA87*6)+(S87*0.4))/(H87/1000)*(1+VetDmgBonus*0.3))</f>
        <v>144.752040816327</v>
      </c>
    </row>
    <row r="88" customFormat="false" ht="15" hidden="false" customHeight="false" outlineLevel="0" collapsed="false">
      <c r="A88" s="21" t="s">
        <v>583</v>
      </c>
      <c r="B88" s="32" t="s">
        <v>510</v>
      </c>
      <c r="C88" s="21" t="s">
        <v>511</v>
      </c>
      <c r="D88" s="23" t="s">
        <v>584</v>
      </c>
      <c r="E88" s="21" t="s">
        <v>261</v>
      </c>
      <c r="F88" s="21" t="s">
        <v>505</v>
      </c>
      <c r="G88" s="21" t="s">
        <v>263</v>
      </c>
      <c r="H88" s="15" t="n">
        <v>2300</v>
      </c>
      <c r="I88" s="15" t="n">
        <v>26</v>
      </c>
      <c r="J88" s="15" t="n">
        <v>950</v>
      </c>
      <c r="K88" s="21" t="s">
        <v>261</v>
      </c>
      <c r="L88" s="15" t="n">
        <v>64</v>
      </c>
      <c r="M88" s="15" t="n">
        <v>12</v>
      </c>
      <c r="N88" s="15" t="n">
        <v>12</v>
      </c>
      <c r="O88" s="15" t="n">
        <v>16</v>
      </c>
      <c r="P88" s="15" t="n">
        <v>22</v>
      </c>
      <c r="Q88" s="15" t="n">
        <v>42</v>
      </c>
      <c r="R88" s="15" t="n">
        <v>26</v>
      </c>
      <c r="S88" s="19" t="n">
        <v>12</v>
      </c>
      <c r="T88" s="19" t="n">
        <v>2.8</v>
      </c>
      <c r="U88" s="23" t="s">
        <v>585</v>
      </c>
      <c r="V88" s="23" t="s">
        <v>507</v>
      </c>
      <c r="W88" s="23" t="s">
        <v>508</v>
      </c>
      <c r="X88" s="23"/>
      <c r="Y88" s="24" t="n">
        <f aca="false">IF(T88=0,0,N88/T88)</f>
        <v>4.28571428571429</v>
      </c>
      <c r="Z88" s="24" t="n">
        <f aca="false">IF(T88=0,0,P88/T88)</f>
        <v>7.85714285714286</v>
      </c>
      <c r="AA88" s="24" t="n">
        <f aca="false">IF(T88=0,0,Q88/T88)</f>
        <v>15</v>
      </c>
      <c r="AB88" s="24" t="n">
        <f aca="false">IF(J88=0,0,H88/J88)</f>
        <v>2.42105263157895</v>
      </c>
      <c r="AC88" s="24" t="str">
        <f aca="false">IF(E88="MBT",H88-MBTTargetCost,"")</f>
        <v/>
      </c>
      <c r="AD88" s="24" t="n">
        <f aca="false">IF(H88=0,0,((J88/10)+(Y88*3)+(Z88*8)+(AA88*6)+(S88*0.4))/(H88/1000)*(1+VetDmgBonus*0.3))</f>
        <v>124.099068322981</v>
      </c>
    </row>
    <row r="89" customFormat="false" ht="15" hidden="false" customHeight="false" outlineLevel="0" collapsed="false">
      <c r="A89" s="16" t="s">
        <v>586</v>
      </c>
      <c r="B89" s="33" t="s">
        <v>587</v>
      </c>
      <c r="C89" s="16" t="s">
        <v>588</v>
      </c>
      <c r="D89" s="18" t="s">
        <v>589</v>
      </c>
      <c r="E89" s="16" t="s">
        <v>139</v>
      </c>
      <c r="F89" s="16" t="s">
        <v>590</v>
      </c>
      <c r="G89" s="16" t="s">
        <v>141</v>
      </c>
      <c r="H89" s="15" t="n">
        <v>220</v>
      </c>
      <c r="I89" s="15" t="n">
        <v>10</v>
      </c>
      <c r="J89" s="15" t="n">
        <v>150</v>
      </c>
      <c r="K89" s="16" t="s">
        <v>142</v>
      </c>
      <c r="L89" s="15" t="n">
        <v>58</v>
      </c>
      <c r="M89" s="15" t="n">
        <v>8</v>
      </c>
      <c r="N89" s="15" t="n">
        <v>15</v>
      </c>
      <c r="O89" s="15" t="n">
        <v>9</v>
      </c>
      <c r="P89" s="15" t="n">
        <v>3</v>
      </c>
      <c r="Q89" s="15" t="n">
        <v>3</v>
      </c>
      <c r="R89" s="15" t="n">
        <v>7</v>
      </c>
      <c r="S89" s="19" t="n">
        <v>5.5</v>
      </c>
      <c r="T89" s="19" t="n">
        <v>0.95</v>
      </c>
      <c r="U89" s="18" t="s">
        <v>591</v>
      </c>
      <c r="V89" s="18" t="s">
        <v>284</v>
      </c>
      <c r="W89" s="18" t="s">
        <v>444</v>
      </c>
      <c r="X89" s="18"/>
      <c r="Y89" s="20" t="n">
        <f aca="false">IF(T89=0,0,N89/T89)</f>
        <v>15.7894736842105</v>
      </c>
      <c r="Z89" s="20" t="n">
        <f aca="false">IF(T89=0,0,P89/T89)</f>
        <v>3.15789473684211</v>
      </c>
      <c r="AA89" s="20" t="n">
        <f aca="false">IF(T89=0,0,Q89/T89)</f>
        <v>3.15789473684211</v>
      </c>
      <c r="AB89" s="20" t="n">
        <f aca="false">IF(J89=0,0,H89/J89)</f>
        <v>1.46666666666667</v>
      </c>
      <c r="AC89" s="20" t="str">
        <f aca="false">IF(E89="MBT",H89-MBTTargetCost,"")</f>
        <v/>
      </c>
      <c r="AD89" s="20" t="n">
        <f aca="false">IF(H89=0,0,((J89/10)+(Y89*3)+(Z89*8)+(AA89*6)+(S89*0.4))/(H89/1000)*(1+VetDmgBonus*0.3))</f>
        <v>531.533492822967</v>
      </c>
    </row>
    <row r="90" customFormat="false" ht="15" hidden="false" customHeight="false" outlineLevel="0" collapsed="false">
      <c r="A90" s="21" t="s">
        <v>592</v>
      </c>
      <c r="B90" s="34" t="s">
        <v>587</v>
      </c>
      <c r="C90" s="21" t="s">
        <v>588</v>
      </c>
      <c r="D90" s="23" t="s">
        <v>593</v>
      </c>
      <c r="E90" s="21" t="s">
        <v>214</v>
      </c>
      <c r="F90" s="21" t="s">
        <v>215</v>
      </c>
      <c r="G90" s="21" t="s">
        <v>141</v>
      </c>
      <c r="H90" s="15" t="n">
        <v>780</v>
      </c>
      <c r="I90" s="15" t="n">
        <v>16</v>
      </c>
      <c r="J90" s="15" t="n">
        <v>150</v>
      </c>
      <c r="K90" s="21" t="s">
        <v>142</v>
      </c>
      <c r="L90" s="15" t="n">
        <v>68</v>
      </c>
      <c r="M90" s="15" t="n">
        <v>9</v>
      </c>
      <c r="N90" s="15" t="n">
        <v>16</v>
      </c>
      <c r="O90" s="15" t="n">
        <v>16</v>
      </c>
      <c r="P90" s="15" t="n">
        <v>28</v>
      </c>
      <c r="Q90" s="15" t="n">
        <v>4</v>
      </c>
      <c r="R90" s="15" t="n">
        <v>8</v>
      </c>
      <c r="S90" s="19" t="n">
        <v>5</v>
      </c>
      <c r="T90" s="19" t="n">
        <v>1.4</v>
      </c>
      <c r="U90" s="23" t="s">
        <v>594</v>
      </c>
      <c r="V90" s="23" t="s">
        <v>517</v>
      </c>
      <c r="W90" s="23" t="s">
        <v>595</v>
      </c>
      <c r="X90" s="23"/>
      <c r="Y90" s="24" t="n">
        <f aca="false">IF(T90=0,0,N90/T90)</f>
        <v>11.4285714285714</v>
      </c>
      <c r="Z90" s="24" t="n">
        <f aca="false">IF(T90=0,0,P90/T90)</f>
        <v>20</v>
      </c>
      <c r="AA90" s="24" t="n">
        <f aca="false">IF(T90=0,0,Q90/T90)</f>
        <v>2.85714285714286</v>
      </c>
      <c r="AB90" s="24" t="n">
        <f aca="false">IF(J90=0,0,H90/J90)</f>
        <v>5.2</v>
      </c>
      <c r="AC90" s="24" t="str">
        <f aca="false">IF(E90="MBT",H90-MBTTargetCost,"")</f>
        <v/>
      </c>
      <c r="AD90" s="24" t="n">
        <f aca="false">IF(H90=0,0,((J90/10)+(Y90*3)+(Z90*8)+(AA90*6)+(S90*0.4))/(H90/1000)*(1+VetDmgBonus*0.3))</f>
        <v>314.821428571429</v>
      </c>
    </row>
    <row r="91" customFormat="false" ht="15" hidden="false" customHeight="false" outlineLevel="0" collapsed="false">
      <c r="A91" s="16" t="s">
        <v>596</v>
      </c>
      <c r="B91" s="33" t="s">
        <v>587</v>
      </c>
      <c r="C91" s="16" t="s">
        <v>588</v>
      </c>
      <c r="D91" s="18" t="s">
        <v>597</v>
      </c>
      <c r="E91" s="16" t="s">
        <v>149</v>
      </c>
      <c r="F91" s="16" t="s">
        <v>598</v>
      </c>
      <c r="G91" s="16" t="s">
        <v>141</v>
      </c>
      <c r="H91" s="15" t="n">
        <v>500</v>
      </c>
      <c r="I91" s="15" t="n">
        <v>14</v>
      </c>
      <c r="J91" s="15" t="n">
        <v>80</v>
      </c>
      <c r="K91" s="16" t="s">
        <v>142</v>
      </c>
      <c r="L91" s="15" t="n">
        <v>45</v>
      </c>
      <c r="M91" s="15" t="n">
        <v>9</v>
      </c>
      <c r="N91" s="15" t="n">
        <v>3</v>
      </c>
      <c r="O91" s="15" t="n">
        <v>16</v>
      </c>
      <c r="P91" s="15" t="n">
        <v>105</v>
      </c>
      <c r="Q91" s="15" t="n">
        <v>2</v>
      </c>
      <c r="R91" s="15" t="n">
        <v>6</v>
      </c>
      <c r="S91" s="19" t="n">
        <v>10</v>
      </c>
      <c r="T91" s="19" t="n">
        <v>5.2</v>
      </c>
      <c r="U91" s="18" t="s">
        <v>599</v>
      </c>
      <c r="V91" s="18" t="s">
        <v>160</v>
      </c>
      <c r="W91" s="18" t="s">
        <v>381</v>
      </c>
      <c r="X91" s="18"/>
      <c r="Y91" s="20" t="n">
        <f aca="false">IF(T91=0,0,N91/T91)</f>
        <v>0.576923076923077</v>
      </c>
      <c r="Z91" s="20" t="n">
        <f aca="false">IF(T91=0,0,P91/T91)</f>
        <v>20.1923076923077</v>
      </c>
      <c r="AA91" s="20" t="n">
        <f aca="false">IF(T91=0,0,Q91/T91)</f>
        <v>0.384615384615385</v>
      </c>
      <c r="AB91" s="20" t="n">
        <f aca="false">IF(J91=0,0,H91/J91)</f>
        <v>6.25</v>
      </c>
      <c r="AC91" s="20" t="str">
        <f aca="false">IF(E91="MBT",H91-MBTTargetCost,"")</f>
        <v/>
      </c>
      <c r="AD91" s="20" t="n">
        <f aca="false">IF(H91=0,0,((J91/10)+(Y91*3)+(Z91*8)+(AA91*6)+(S91*0.4))/(H91/1000)*(1+VetDmgBonus*0.3))</f>
        <v>381.790384615385</v>
      </c>
    </row>
    <row r="92" customFormat="false" ht="15" hidden="false" customHeight="false" outlineLevel="0" collapsed="false">
      <c r="A92" s="21" t="s">
        <v>600</v>
      </c>
      <c r="B92" s="34" t="s">
        <v>587</v>
      </c>
      <c r="C92" s="21" t="s">
        <v>588</v>
      </c>
      <c r="D92" s="23" t="s">
        <v>163</v>
      </c>
      <c r="E92" s="21" t="s">
        <v>163</v>
      </c>
      <c r="F92" s="21" t="s">
        <v>164</v>
      </c>
      <c r="G92" s="21" t="s">
        <v>141</v>
      </c>
      <c r="H92" s="15" t="n">
        <v>500</v>
      </c>
      <c r="I92" s="15" t="n">
        <v>10</v>
      </c>
      <c r="J92" s="15" t="n">
        <v>80</v>
      </c>
      <c r="K92" s="21" t="s">
        <v>142</v>
      </c>
      <c r="L92" s="15" t="n">
        <v>50</v>
      </c>
      <c r="M92" s="15" t="n">
        <v>6</v>
      </c>
      <c r="N92" s="15" t="n">
        <v>0</v>
      </c>
      <c r="O92" s="15" t="n">
        <v>0</v>
      </c>
      <c r="P92" s="15" t="n">
        <v>0</v>
      </c>
      <c r="Q92" s="15" t="n">
        <v>0</v>
      </c>
      <c r="R92" s="15" t="n">
        <v>0</v>
      </c>
      <c r="S92" s="19" t="n">
        <v>2</v>
      </c>
      <c r="T92" s="19" t="n">
        <v>0</v>
      </c>
      <c r="U92" s="23" t="s">
        <v>165</v>
      </c>
      <c r="V92" s="23" t="s">
        <v>291</v>
      </c>
      <c r="W92" s="23" t="s">
        <v>292</v>
      </c>
      <c r="X92" s="23"/>
      <c r="Y92" s="24" t="n">
        <f aca="false">IF(T92=0,0,N92/T92)</f>
        <v>0</v>
      </c>
      <c r="Z92" s="24" t="n">
        <f aca="false">IF(T92=0,0,P92/T92)</f>
        <v>0</v>
      </c>
      <c r="AA92" s="24" t="n">
        <f aca="false">IF(T92=0,0,Q92/T92)</f>
        <v>0</v>
      </c>
      <c r="AB92" s="24" t="n">
        <f aca="false">IF(J92=0,0,H92/J92)</f>
        <v>6.25</v>
      </c>
      <c r="AC92" s="24" t="str">
        <f aca="false">IF(E92="MBT",H92-MBTTargetCost,"")</f>
        <v/>
      </c>
      <c r="AD92" s="24" t="n">
        <f aca="false">IF(H92=0,0,((J92/10)+(Y92*3)+(Z92*8)+(AA92*6)+(S92*0.4))/(H92/1000)*(1+VetDmgBonus*0.3))</f>
        <v>18.92</v>
      </c>
    </row>
    <row r="93" customFormat="false" ht="15" hidden="false" customHeight="false" outlineLevel="0" collapsed="false">
      <c r="A93" s="16" t="s">
        <v>601</v>
      </c>
      <c r="B93" s="33" t="s">
        <v>587</v>
      </c>
      <c r="C93" s="16" t="s">
        <v>588</v>
      </c>
      <c r="D93" s="18" t="s">
        <v>602</v>
      </c>
      <c r="E93" s="16" t="s">
        <v>144</v>
      </c>
      <c r="F93" s="16" t="s">
        <v>603</v>
      </c>
      <c r="G93" s="16" t="s">
        <v>141</v>
      </c>
      <c r="H93" s="15" t="n">
        <v>920</v>
      </c>
      <c r="I93" s="15" t="n">
        <v>14</v>
      </c>
      <c r="J93" s="15" t="n">
        <v>440</v>
      </c>
      <c r="K93" s="16" t="s">
        <v>171</v>
      </c>
      <c r="L93" s="15" t="n">
        <v>84</v>
      </c>
      <c r="M93" s="15" t="n">
        <v>8</v>
      </c>
      <c r="N93" s="15" t="n">
        <v>24</v>
      </c>
      <c r="O93" s="15" t="n">
        <v>20</v>
      </c>
      <c r="P93" s="15" t="n">
        <v>24</v>
      </c>
      <c r="Q93" s="15" t="n">
        <v>12</v>
      </c>
      <c r="R93" s="15" t="n">
        <v>12</v>
      </c>
      <c r="S93" s="19" t="n">
        <v>6.5</v>
      </c>
      <c r="T93" s="19" t="n">
        <v>1.15</v>
      </c>
      <c r="U93" s="18" t="s">
        <v>604</v>
      </c>
      <c r="V93" s="18" t="s">
        <v>173</v>
      </c>
      <c r="W93" s="18" t="s">
        <v>463</v>
      </c>
      <c r="X93" s="18"/>
      <c r="Y93" s="20" t="n">
        <f aca="false">IF(T93=0,0,N93/T93)</f>
        <v>20.8695652173913</v>
      </c>
      <c r="Z93" s="20" t="n">
        <f aca="false">IF(T93=0,0,P93/T93)</f>
        <v>20.8695652173913</v>
      </c>
      <c r="AA93" s="20" t="n">
        <f aca="false">IF(T93=0,0,Q93/T93)</f>
        <v>10.4347826086957</v>
      </c>
      <c r="AB93" s="20" t="n">
        <f aca="false">IF(J93=0,0,H93/J93)</f>
        <v>2.09090909090909</v>
      </c>
      <c r="AC93" s="20" t="str">
        <f aca="false">IF(E93="MBT",H93-MBTTargetCost,"")</f>
        <v/>
      </c>
      <c r="AD93" s="20" t="n">
        <f aca="false">IF(H93=0,0,((J93/10)+(Y93*3)+(Z93*8)+(AA93*6)+(S93*0.4))/(H93/1000)*(1+VetDmgBonus*0.3))</f>
        <v>395.849952741021</v>
      </c>
    </row>
    <row r="94" customFormat="false" ht="15" hidden="false" customHeight="false" outlineLevel="0" collapsed="false">
      <c r="A94" s="21" t="s">
        <v>605</v>
      </c>
      <c r="B94" s="34" t="s">
        <v>587</v>
      </c>
      <c r="C94" s="21" t="s">
        <v>588</v>
      </c>
      <c r="D94" s="23" t="s">
        <v>606</v>
      </c>
      <c r="E94" s="21" t="s">
        <v>221</v>
      </c>
      <c r="F94" s="21" t="s">
        <v>607</v>
      </c>
      <c r="G94" s="21" t="s">
        <v>141</v>
      </c>
      <c r="H94" s="15" t="n">
        <v>1100</v>
      </c>
      <c r="I94" s="15" t="n">
        <v>16</v>
      </c>
      <c r="J94" s="15" t="n">
        <v>900</v>
      </c>
      <c r="K94" s="21" t="s">
        <v>179</v>
      </c>
      <c r="L94" s="15" t="n">
        <v>55</v>
      </c>
      <c r="M94" s="15" t="n">
        <v>7</v>
      </c>
      <c r="N94" s="15" t="n">
        <v>20</v>
      </c>
      <c r="O94" s="15" t="n">
        <v>14</v>
      </c>
      <c r="P94" s="15" t="n">
        <v>10</v>
      </c>
      <c r="Q94" s="15" t="n">
        <v>8</v>
      </c>
      <c r="R94" s="15" t="n">
        <v>10</v>
      </c>
      <c r="S94" s="19" t="n">
        <v>5</v>
      </c>
      <c r="T94" s="19" t="n">
        <v>1.2</v>
      </c>
      <c r="U94" s="23" t="s">
        <v>608</v>
      </c>
      <c r="V94" s="23" t="s">
        <v>331</v>
      </c>
      <c r="W94" s="23" t="s">
        <v>609</v>
      </c>
      <c r="X94" s="23" t="s">
        <v>610</v>
      </c>
      <c r="Y94" s="24" t="n">
        <f aca="false">IF(T94=0,0,N94/T94)</f>
        <v>16.6666666666667</v>
      </c>
      <c r="Z94" s="24" t="n">
        <f aca="false">IF(T94=0,0,P94/T94)</f>
        <v>8.33333333333333</v>
      </c>
      <c r="AA94" s="24" t="n">
        <f aca="false">IF(T94=0,0,Q94/T94)</f>
        <v>6.66666666666667</v>
      </c>
      <c r="AB94" s="24" t="n">
        <f aca="false">IF(J94=0,0,H94/J94)</f>
        <v>1.22222222222222</v>
      </c>
      <c r="AC94" s="24" t="str">
        <f aca="false">IF(E94="MBT",H94-MBTTargetCost,"")</f>
        <v/>
      </c>
      <c r="AD94" s="24" t="n">
        <f aca="false">IF(H94=0,0,((J94/10)+(Y94*3)+(Z94*8)+(AA94*6)+(S94*0.4))/(H94/1000)*(1+VetDmgBonus*0.3))</f>
        <v>243.015151515152</v>
      </c>
    </row>
    <row r="95" customFormat="false" ht="15" hidden="false" customHeight="false" outlineLevel="0" collapsed="false">
      <c r="A95" s="16" t="s">
        <v>611</v>
      </c>
      <c r="B95" s="33" t="s">
        <v>587</v>
      </c>
      <c r="C95" s="16" t="s">
        <v>588</v>
      </c>
      <c r="D95" s="18" t="s">
        <v>612</v>
      </c>
      <c r="E95" s="16" t="s">
        <v>177</v>
      </c>
      <c r="F95" s="16" t="s">
        <v>397</v>
      </c>
      <c r="G95" s="16" t="s">
        <v>141</v>
      </c>
      <c r="H95" s="15" t="n">
        <v>1200</v>
      </c>
      <c r="I95" s="15" t="n">
        <v>16</v>
      </c>
      <c r="J95" s="15" t="n">
        <v>900</v>
      </c>
      <c r="K95" s="16" t="s">
        <v>179</v>
      </c>
      <c r="L95" s="15" t="n">
        <v>58</v>
      </c>
      <c r="M95" s="15" t="n">
        <v>8</v>
      </c>
      <c r="N95" s="15" t="n">
        <v>18</v>
      </c>
      <c r="O95" s="15" t="n">
        <v>30</v>
      </c>
      <c r="P95" s="15" t="n">
        <v>68</v>
      </c>
      <c r="Q95" s="15" t="n">
        <v>6</v>
      </c>
      <c r="R95" s="15" t="n">
        <v>18</v>
      </c>
      <c r="S95" s="19" t="n">
        <v>7.5</v>
      </c>
      <c r="T95" s="19" t="n">
        <v>2.1</v>
      </c>
      <c r="U95" s="18" t="s">
        <v>180</v>
      </c>
      <c r="V95" s="18" t="s">
        <v>398</v>
      </c>
      <c r="W95" s="18" t="s">
        <v>139</v>
      </c>
      <c r="X95" s="18"/>
      <c r="Y95" s="20" t="n">
        <f aca="false">IF(T95=0,0,N95/T95)</f>
        <v>8.57142857142857</v>
      </c>
      <c r="Z95" s="20" t="n">
        <f aca="false">IF(T95=0,0,P95/T95)</f>
        <v>32.3809523809524</v>
      </c>
      <c r="AA95" s="20" t="n">
        <f aca="false">IF(T95=0,0,Q95/T95)</f>
        <v>2.85714285714286</v>
      </c>
      <c r="AB95" s="20" t="n">
        <f aca="false">IF(J95=0,0,H95/J95)</f>
        <v>1.33333333333333</v>
      </c>
      <c r="AC95" s="20" t="str">
        <f aca="false">IF(E95="MBT",H95-MBTTargetCost,"")</f>
        <v/>
      </c>
      <c r="AD95" s="20" t="n">
        <f aca="false">IF(H95=0,0,((J95/10)+(Y95*3)+(Z95*8)+(AA95*6)+(S95*0.4))/(H95/1000)*(1+VetDmgBonus*0.3))</f>
        <v>353.768849206349</v>
      </c>
    </row>
    <row r="96" customFormat="false" ht="15" hidden="false" customHeight="false" outlineLevel="0" collapsed="false">
      <c r="A96" s="21" t="s">
        <v>613</v>
      </c>
      <c r="B96" s="34" t="s">
        <v>587</v>
      </c>
      <c r="C96" s="21" t="s">
        <v>588</v>
      </c>
      <c r="D96" s="23" t="s">
        <v>614</v>
      </c>
      <c r="E96" s="21" t="s">
        <v>185</v>
      </c>
      <c r="F96" s="21" t="s">
        <v>615</v>
      </c>
      <c r="G96" s="21" t="s">
        <v>141</v>
      </c>
      <c r="H96" s="15" t="n">
        <v>1850</v>
      </c>
      <c r="I96" s="15" t="n">
        <v>22</v>
      </c>
      <c r="J96" s="15" t="n">
        <v>1300</v>
      </c>
      <c r="K96" s="21" t="s">
        <v>179</v>
      </c>
      <c r="L96" s="15" t="n">
        <v>62</v>
      </c>
      <c r="M96" s="15" t="n">
        <v>8</v>
      </c>
      <c r="N96" s="15" t="n">
        <v>22</v>
      </c>
      <c r="O96" s="15" t="n">
        <v>34</v>
      </c>
      <c r="P96" s="15" t="n">
        <v>86</v>
      </c>
      <c r="Q96" s="15" t="n">
        <v>8</v>
      </c>
      <c r="R96" s="15" t="n">
        <v>24</v>
      </c>
      <c r="S96" s="19" t="n">
        <v>8</v>
      </c>
      <c r="T96" s="19" t="n">
        <v>2</v>
      </c>
      <c r="U96" s="23" t="s">
        <v>616</v>
      </c>
      <c r="V96" s="23" t="s">
        <v>617</v>
      </c>
      <c r="W96" s="23" t="s">
        <v>618</v>
      </c>
      <c r="X96" s="23" t="s">
        <v>404</v>
      </c>
      <c r="Y96" s="24" t="n">
        <f aca="false">IF(T96=0,0,N96/T96)</f>
        <v>11</v>
      </c>
      <c r="Z96" s="24" t="n">
        <f aca="false">IF(T96=0,0,P96/T96)</f>
        <v>43</v>
      </c>
      <c r="AA96" s="24" t="n">
        <f aca="false">IF(T96=0,0,Q96/T96)</f>
        <v>4</v>
      </c>
      <c r="AB96" s="24" t="n">
        <f aca="false">IF(J96=0,0,H96/J96)</f>
        <v>1.42307692307692</v>
      </c>
      <c r="AC96" s="24" t="n">
        <f aca="false">IF(E96="MBT",H96-MBTTargetCost,"")</f>
        <v>350</v>
      </c>
      <c r="AD96" s="24" t="n">
        <f aca="false">IF(H96=0,0,((J96/10)+(Y96*3)+(Z96*8)+(AA96*6)+(S96*0.4))/(H96/1000)*(1+VetDmgBonus*0.3))</f>
        <v>310.413513513514</v>
      </c>
    </row>
    <row r="97" customFormat="false" ht="15" hidden="false" customHeight="false" outlineLevel="0" collapsed="false">
      <c r="A97" s="16" t="s">
        <v>619</v>
      </c>
      <c r="B97" s="33" t="s">
        <v>587</v>
      </c>
      <c r="C97" s="16" t="s">
        <v>588</v>
      </c>
      <c r="D97" s="18" t="s">
        <v>620</v>
      </c>
      <c r="E97" s="16" t="s">
        <v>192</v>
      </c>
      <c r="F97" s="16" t="s">
        <v>539</v>
      </c>
      <c r="G97" s="16" t="s">
        <v>141</v>
      </c>
      <c r="H97" s="15" t="n">
        <v>1250</v>
      </c>
      <c r="I97" s="15" t="n">
        <v>16</v>
      </c>
      <c r="J97" s="15" t="n">
        <v>420</v>
      </c>
      <c r="K97" s="16" t="s">
        <v>171</v>
      </c>
      <c r="L97" s="15" t="n">
        <v>55</v>
      </c>
      <c r="M97" s="15" t="n">
        <v>10</v>
      </c>
      <c r="N97" s="15" t="n">
        <v>36</v>
      </c>
      <c r="O97" s="15" t="n">
        <v>42</v>
      </c>
      <c r="P97" s="15" t="n">
        <v>48</v>
      </c>
      <c r="Q97" s="15" t="n">
        <v>8</v>
      </c>
      <c r="R97" s="15" t="n">
        <v>95</v>
      </c>
      <c r="S97" s="19" t="n">
        <v>14</v>
      </c>
      <c r="T97" s="19" t="n">
        <v>6</v>
      </c>
      <c r="U97" s="18" t="s">
        <v>180</v>
      </c>
      <c r="V97" s="18" t="s">
        <v>200</v>
      </c>
      <c r="W97" s="18" t="s">
        <v>218</v>
      </c>
      <c r="X97" s="18"/>
      <c r="Y97" s="20" t="n">
        <f aca="false">IF(T97=0,0,N97/T97)</f>
        <v>6</v>
      </c>
      <c r="Z97" s="20" t="n">
        <f aca="false">IF(T97=0,0,P97/T97)</f>
        <v>8</v>
      </c>
      <c r="AA97" s="20" t="n">
        <f aca="false">IF(T97=0,0,Q97/T97)</f>
        <v>1.33333333333333</v>
      </c>
      <c r="AB97" s="20" t="n">
        <f aca="false">IF(J97=0,0,H97/J97)</f>
        <v>2.97619047619048</v>
      </c>
      <c r="AC97" s="20" t="str">
        <f aca="false">IF(E97="MBT",H97-MBTTargetCost,"")</f>
        <v/>
      </c>
      <c r="AD97" s="20" t="n">
        <f aca="false">IF(H97=0,0,((J97/10)+(Y97*3)+(Z97*8)+(AA97*6)+(S97*0.4))/(H97/1000)*(1+VetDmgBonus*0.3))</f>
        <v>118.336</v>
      </c>
    </row>
    <row r="98" customFormat="false" ht="15" hidden="false" customHeight="false" outlineLevel="0" collapsed="false">
      <c r="A98" s="21" t="s">
        <v>621</v>
      </c>
      <c r="B98" s="34" t="s">
        <v>587</v>
      </c>
      <c r="C98" s="21" t="s">
        <v>588</v>
      </c>
      <c r="D98" s="23" t="s">
        <v>622</v>
      </c>
      <c r="E98" s="21" t="s">
        <v>236</v>
      </c>
      <c r="F98" s="21" t="s">
        <v>623</v>
      </c>
      <c r="G98" s="21" t="s">
        <v>141</v>
      </c>
      <c r="H98" s="15" t="n">
        <v>1600</v>
      </c>
      <c r="I98" s="15" t="n">
        <v>18</v>
      </c>
      <c r="J98" s="15" t="n">
        <v>400</v>
      </c>
      <c r="K98" s="21" t="s">
        <v>171</v>
      </c>
      <c r="L98" s="15" t="n">
        <v>58</v>
      </c>
      <c r="M98" s="15" t="n">
        <v>10</v>
      </c>
      <c r="N98" s="15" t="n">
        <v>50</v>
      </c>
      <c r="O98" s="15" t="n">
        <v>50</v>
      </c>
      <c r="P98" s="15" t="n">
        <v>55</v>
      </c>
      <c r="Q98" s="15" t="n">
        <v>10</v>
      </c>
      <c r="R98" s="15" t="n">
        <v>80</v>
      </c>
      <c r="S98" s="19" t="n">
        <v>18</v>
      </c>
      <c r="T98" s="19" t="n">
        <v>8</v>
      </c>
      <c r="U98" s="23" t="s">
        <v>624</v>
      </c>
      <c r="V98" s="23" t="s">
        <v>200</v>
      </c>
      <c r="W98" s="23" t="s">
        <v>342</v>
      </c>
      <c r="X98" s="23"/>
      <c r="Y98" s="24" t="n">
        <f aca="false">IF(T98=0,0,N98/T98)</f>
        <v>6.25</v>
      </c>
      <c r="Z98" s="24" t="n">
        <f aca="false">IF(T98=0,0,P98/T98)</f>
        <v>6.875</v>
      </c>
      <c r="AA98" s="24" t="n">
        <f aca="false">IF(T98=0,0,Q98/T98)</f>
        <v>1.25</v>
      </c>
      <c r="AB98" s="24" t="n">
        <f aca="false">IF(J98=0,0,H98/J98)</f>
        <v>4</v>
      </c>
      <c r="AC98" s="24" t="str">
        <f aca="false">IF(E98="MBT",H98-MBTTargetCost,"")</f>
        <v/>
      </c>
      <c r="AD98" s="24" t="n">
        <f aca="false">IF(H98=0,0,((J98/10)+(Y98*3)+(Z98*8)+(AA98*6)+(S98*0.4))/(H98/1000)*(1+VetDmgBonus*0.3))</f>
        <v>86.30234375</v>
      </c>
    </row>
    <row r="99" customFormat="false" ht="15" hidden="false" customHeight="false" outlineLevel="0" collapsed="false">
      <c r="A99" s="16" t="s">
        <v>625</v>
      </c>
      <c r="B99" s="33" t="s">
        <v>587</v>
      </c>
      <c r="C99" s="16" t="s">
        <v>588</v>
      </c>
      <c r="D99" s="18" t="s">
        <v>626</v>
      </c>
      <c r="E99" s="16" t="s">
        <v>198</v>
      </c>
      <c r="F99" s="16" t="s">
        <v>199</v>
      </c>
      <c r="G99" s="16" t="s">
        <v>200</v>
      </c>
      <c r="H99" s="15" t="n">
        <v>1700</v>
      </c>
      <c r="I99" s="15" t="n">
        <v>18</v>
      </c>
      <c r="J99" s="15" t="n">
        <v>390</v>
      </c>
      <c r="K99" s="16" t="s">
        <v>200</v>
      </c>
      <c r="L99" s="15" t="n">
        <v>95</v>
      </c>
      <c r="M99" s="15" t="n">
        <v>10</v>
      </c>
      <c r="N99" s="15" t="n">
        <v>10</v>
      </c>
      <c r="O99" s="15" t="n">
        <v>20</v>
      </c>
      <c r="P99" s="15" t="n">
        <v>90</v>
      </c>
      <c r="Q99" s="15" t="n">
        <v>8</v>
      </c>
      <c r="R99" s="15" t="n">
        <v>8</v>
      </c>
      <c r="S99" s="19" t="n">
        <v>8.5</v>
      </c>
      <c r="T99" s="19" t="n">
        <v>2.9</v>
      </c>
      <c r="U99" s="18" t="s">
        <v>180</v>
      </c>
      <c r="V99" s="18" t="s">
        <v>245</v>
      </c>
      <c r="W99" s="18" t="s">
        <v>381</v>
      </c>
      <c r="X99" s="18"/>
      <c r="Y99" s="20" t="n">
        <f aca="false">IF(T99=0,0,N99/T99)</f>
        <v>3.44827586206897</v>
      </c>
      <c r="Z99" s="20" t="n">
        <f aca="false">IF(T99=0,0,P99/T99)</f>
        <v>31.0344827586207</v>
      </c>
      <c r="AA99" s="20" t="n">
        <f aca="false">IF(T99=0,0,Q99/T99)</f>
        <v>2.75862068965517</v>
      </c>
      <c r="AB99" s="20" t="n">
        <f aca="false">IF(J99=0,0,H99/J99)</f>
        <v>4.35897435897436</v>
      </c>
      <c r="AC99" s="20" t="str">
        <f aca="false">IF(E99="MBT",H99-MBTTargetCost,"")</f>
        <v/>
      </c>
      <c r="AD99" s="20" t="n">
        <f aca="false">IF(H99=0,0,((J99/10)+(Y99*3)+(Z99*8)+(AA99*6)+(S99*0.4))/(H99/1000)*(1+VetDmgBonus*0.3))</f>
        <v>200.81784989858</v>
      </c>
    </row>
    <row r="100" customFormat="false" ht="15" hidden="false" customHeight="false" outlineLevel="0" collapsed="false">
      <c r="A100" s="21" t="s">
        <v>627</v>
      </c>
      <c r="B100" s="34" t="s">
        <v>587</v>
      </c>
      <c r="C100" s="21" t="s">
        <v>588</v>
      </c>
      <c r="D100" s="23" t="s">
        <v>628</v>
      </c>
      <c r="E100" s="21" t="s">
        <v>559</v>
      </c>
      <c r="F100" s="21" t="s">
        <v>629</v>
      </c>
      <c r="G100" s="21" t="s">
        <v>200</v>
      </c>
      <c r="H100" s="15" t="n">
        <v>450</v>
      </c>
      <c r="I100" s="15" t="n">
        <v>10</v>
      </c>
      <c r="J100" s="15" t="n">
        <v>110</v>
      </c>
      <c r="K100" s="21" t="s">
        <v>200</v>
      </c>
      <c r="L100" s="15" t="n">
        <v>75</v>
      </c>
      <c r="M100" s="15" t="n">
        <v>14</v>
      </c>
      <c r="N100" s="15" t="n">
        <v>4</v>
      </c>
      <c r="O100" s="15" t="n">
        <v>8</v>
      </c>
      <c r="P100" s="15" t="n">
        <v>14</v>
      </c>
      <c r="Q100" s="15" t="n">
        <v>6</v>
      </c>
      <c r="R100" s="15" t="n">
        <v>6</v>
      </c>
      <c r="S100" s="19" t="n">
        <v>10</v>
      </c>
      <c r="T100" s="19" t="n">
        <v>4</v>
      </c>
      <c r="U100" s="23" t="s">
        <v>630</v>
      </c>
      <c r="V100" s="23" t="s">
        <v>631</v>
      </c>
      <c r="W100" s="23" t="s">
        <v>632</v>
      </c>
      <c r="X100" s="23"/>
      <c r="Y100" s="24" t="n">
        <f aca="false">IF(T100=0,0,N100/T100)</f>
        <v>1</v>
      </c>
      <c r="Z100" s="24" t="n">
        <f aca="false">IF(T100=0,0,P100/T100)</f>
        <v>3.5</v>
      </c>
      <c r="AA100" s="24" t="n">
        <f aca="false">IF(T100=0,0,Q100/T100)</f>
        <v>1.5</v>
      </c>
      <c r="AB100" s="24" t="n">
        <f aca="false">IF(J100=0,0,H100/J100)</f>
        <v>4.09090909090909</v>
      </c>
      <c r="AC100" s="24" t="str">
        <f aca="false">IF(E100="MBT",H100-MBTTargetCost,"")</f>
        <v/>
      </c>
      <c r="AD100" s="24" t="n">
        <f aca="false">IF(H100=0,0,((J100/10)+(Y100*3)+(Z100*8)+(AA100*6)+(S100*0.4))/(H100/1000)*(1+VetDmgBonus*0.3))</f>
        <v>131.388888888889</v>
      </c>
    </row>
    <row r="101" customFormat="false" ht="15" hidden="false" customHeight="false" outlineLevel="0" collapsed="false">
      <c r="A101" s="16" t="s">
        <v>633</v>
      </c>
      <c r="B101" s="33" t="s">
        <v>587</v>
      </c>
      <c r="C101" s="16" t="s">
        <v>588</v>
      </c>
      <c r="D101" s="18" t="s">
        <v>634</v>
      </c>
      <c r="E101" s="16" t="s">
        <v>206</v>
      </c>
      <c r="F101" s="16" t="s">
        <v>295</v>
      </c>
      <c r="G101" s="16" t="s">
        <v>200</v>
      </c>
      <c r="H101" s="15" t="n">
        <v>1750</v>
      </c>
      <c r="I101" s="15" t="n">
        <v>20</v>
      </c>
      <c r="J101" s="15" t="n">
        <v>330</v>
      </c>
      <c r="K101" s="16" t="s">
        <v>200</v>
      </c>
      <c r="L101" s="15" t="n">
        <v>134</v>
      </c>
      <c r="M101" s="15" t="n">
        <v>12</v>
      </c>
      <c r="N101" s="15" t="n">
        <v>10</v>
      </c>
      <c r="O101" s="15" t="n">
        <v>16</v>
      </c>
      <c r="P101" s="15" t="n">
        <v>44</v>
      </c>
      <c r="Q101" s="15" t="n">
        <v>58</v>
      </c>
      <c r="R101" s="15" t="n">
        <v>18</v>
      </c>
      <c r="S101" s="19" t="n">
        <v>12.5</v>
      </c>
      <c r="T101" s="19" t="n">
        <v>3.2</v>
      </c>
      <c r="U101" s="18" t="s">
        <v>180</v>
      </c>
      <c r="V101" s="18" t="s">
        <v>635</v>
      </c>
      <c r="W101" s="18" t="s">
        <v>492</v>
      </c>
      <c r="X101" s="18"/>
      <c r="Y101" s="20" t="n">
        <f aca="false">IF(T101=0,0,N101/T101)</f>
        <v>3.125</v>
      </c>
      <c r="Z101" s="20" t="n">
        <f aca="false">IF(T101=0,0,P101/T101)</f>
        <v>13.75</v>
      </c>
      <c r="AA101" s="20" t="n">
        <f aca="false">IF(T101=0,0,Q101/T101)</f>
        <v>18.125</v>
      </c>
      <c r="AB101" s="20" t="n">
        <f aca="false">IF(J101=0,0,H101/J101)</f>
        <v>5.3030303030303</v>
      </c>
      <c r="AC101" s="20" t="str">
        <f aca="false">IF(E101="MBT",H101-MBTTargetCost,"")</f>
        <v/>
      </c>
      <c r="AD101" s="20" t="n">
        <f aca="false">IF(H101=0,0,((J101/10)+(Y101*3)+(Z101*8)+(AA101*6)+(S101*0.4))/(H101/1000)*(1+VetDmgBonus*0.3))</f>
        <v>163.476785714286</v>
      </c>
    </row>
    <row r="102" customFormat="false" ht="15" hidden="false" customHeight="false" outlineLevel="0" collapsed="false">
      <c r="A102" s="21" t="s">
        <v>636</v>
      </c>
      <c r="B102" s="34" t="s">
        <v>587</v>
      </c>
      <c r="C102" s="21" t="s">
        <v>588</v>
      </c>
      <c r="D102" s="23" t="s">
        <v>637</v>
      </c>
      <c r="E102" s="21" t="s">
        <v>206</v>
      </c>
      <c r="F102" s="21" t="s">
        <v>638</v>
      </c>
      <c r="G102" s="21" t="s">
        <v>200</v>
      </c>
      <c r="H102" s="15" t="n">
        <v>2100</v>
      </c>
      <c r="I102" s="15" t="n">
        <v>24</v>
      </c>
      <c r="J102" s="15" t="n">
        <v>390</v>
      </c>
      <c r="K102" s="21" t="s">
        <v>200</v>
      </c>
      <c r="L102" s="15" t="n">
        <v>142</v>
      </c>
      <c r="M102" s="15" t="n">
        <v>13</v>
      </c>
      <c r="N102" s="15" t="n">
        <v>14</v>
      </c>
      <c r="O102" s="15" t="n">
        <v>22</v>
      </c>
      <c r="P102" s="15" t="n">
        <v>58</v>
      </c>
      <c r="Q102" s="15" t="n">
        <v>30</v>
      </c>
      <c r="R102" s="15" t="n">
        <v>28</v>
      </c>
      <c r="S102" s="19" t="n">
        <v>14</v>
      </c>
      <c r="T102" s="19" t="n">
        <v>3.2</v>
      </c>
      <c r="U102" s="23" t="s">
        <v>639</v>
      </c>
      <c r="V102" s="23" t="s">
        <v>640</v>
      </c>
      <c r="W102" s="23" t="s">
        <v>641</v>
      </c>
      <c r="X102" s="23"/>
      <c r="Y102" s="24" t="n">
        <f aca="false">IF(T102=0,0,N102/T102)</f>
        <v>4.375</v>
      </c>
      <c r="Z102" s="24" t="n">
        <f aca="false">IF(T102=0,0,P102/T102)</f>
        <v>18.125</v>
      </c>
      <c r="AA102" s="24" t="n">
        <f aca="false">IF(T102=0,0,Q102/T102)</f>
        <v>9.375</v>
      </c>
      <c r="AB102" s="24" t="n">
        <f aca="false">IF(J102=0,0,H102/J102)</f>
        <v>5.38461538461539</v>
      </c>
      <c r="AC102" s="24" t="str">
        <f aca="false">IF(E102="MBT",H102-MBTTargetCost,"")</f>
        <v/>
      </c>
      <c r="AD102" s="24" t="n">
        <f aca="false">IF(H102=0,0,((J102/10)+(Y102*3)+(Z102*8)+(AA102*6)+(S102*0.4))/(H102/1000)*(1+VetDmgBonus*0.3))</f>
        <v>132.570535714286</v>
      </c>
    </row>
    <row r="103" customFormat="false" ht="15" hidden="false" customHeight="false" outlineLevel="0" collapsed="false">
      <c r="A103" s="16" t="s">
        <v>642</v>
      </c>
      <c r="B103" s="33" t="s">
        <v>587</v>
      </c>
      <c r="C103" s="16" t="s">
        <v>588</v>
      </c>
      <c r="D103" s="18" t="s">
        <v>643</v>
      </c>
      <c r="E103" s="16" t="s">
        <v>206</v>
      </c>
      <c r="F103" s="16" t="s">
        <v>644</v>
      </c>
      <c r="G103" s="16" t="s">
        <v>200</v>
      </c>
      <c r="H103" s="15" t="n">
        <v>2400</v>
      </c>
      <c r="I103" s="15" t="n">
        <v>28</v>
      </c>
      <c r="J103" s="15" t="n">
        <v>340</v>
      </c>
      <c r="K103" s="16" t="s">
        <v>200</v>
      </c>
      <c r="L103" s="15" t="n">
        <v>140</v>
      </c>
      <c r="M103" s="15" t="n">
        <v>14</v>
      </c>
      <c r="N103" s="15" t="n">
        <v>10</v>
      </c>
      <c r="O103" s="15" t="n">
        <v>16</v>
      </c>
      <c r="P103" s="15" t="n">
        <v>50</v>
      </c>
      <c r="Q103" s="15" t="n">
        <v>55</v>
      </c>
      <c r="R103" s="15" t="n">
        <v>20</v>
      </c>
      <c r="S103" s="19" t="n">
        <v>12</v>
      </c>
      <c r="T103" s="19" t="n">
        <v>3</v>
      </c>
      <c r="U103" s="18" t="s">
        <v>645</v>
      </c>
      <c r="V103" s="18" t="s">
        <v>646</v>
      </c>
      <c r="W103" s="18" t="s">
        <v>647</v>
      </c>
      <c r="X103" s="18" t="s">
        <v>648</v>
      </c>
      <c r="Y103" s="20" t="n">
        <f aca="false">IF(T103=0,0,N103/T103)</f>
        <v>3.33333333333333</v>
      </c>
      <c r="Z103" s="20" t="n">
        <f aca="false">IF(T103=0,0,P103/T103)</f>
        <v>16.6666666666667</v>
      </c>
      <c r="AA103" s="20" t="n">
        <f aca="false">IF(T103=0,0,Q103/T103)</f>
        <v>18.3333333333333</v>
      </c>
      <c r="AB103" s="20" t="n">
        <f aca="false">IF(J103=0,0,H103/J103)</f>
        <v>7.05882352941176</v>
      </c>
      <c r="AC103" s="20" t="str">
        <f aca="false">IF(E103="MBT",H103-MBTTargetCost,"")</f>
        <v/>
      </c>
      <c r="AD103" s="20" t="n">
        <f aca="false">IF(H103=0,0,((J103/10)+(Y103*3)+(Z103*8)+(AA103*6)+(S103*0.4))/(H103/1000)*(1+VetDmgBonus*0.3))</f>
        <v>130.851388888889</v>
      </c>
    </row>
    <row r="104" customFormat="false" ht="15" hidden="false" customHeight="false" outlineLevel="0" collapsed="false">
      <c r="A104" s="21" t="s">
        <v>649</v>
      </c>
      <c r="B104" s="34" t="s">
        <v>587</v>
      </c>
      <c r="C104" s="21" t="s">
        <v>588</v>
      </c>
      <c r="D104" s="23" t="s">
        <v>650</v>
      </c>
      <c r="E104" s="21" t="s">
        <v>261</v>
      </c>
      <c r="F104" s="21" t="s">
        <v>269</v>
      </c>
      <c r="G104" s="21" t="s">
        <v>263</v>
      </c>
      <c r="H104" s="15" t="n">
        <v>2600</v>
      </c>
      <c r="I104" s="15" t="n">
        <v>28</v>
      </c>
      <c r="J104" s="15" t="n">
        <v>1100</v>
      </c>
      <c r="K104" s="21" t="s">
        <v>261</v>
      </c>
      <c r="L104" s="15" t="n">
        <v>60</v>
      </c>
      <c r="M104" s="15" t="n">
        <v>13</v>
      </c>
      <c r="N104" s="15" t="n">
        <v>12</v>
      </c>
      <c r="O104" s="15" t="n">
        <v>16</v>
      </c>
      <c r="P104" s="15" t="n">
        <v>22</v>
      </c>
      <c r="Q104" s="15" t="n">
        <v>55</v>
      </c>
      <c r="R104" s="15" t="n">
        <v>26</v>
      </c>
      <c r="S104" s="19" t="n">
        <v>13</v>
      </c>
      <c r="T104" s="19" t="n">
        <v>2.6</v>
      </c>
      <c r="U104" s="23" t="s">
        <v>651</v>
      </c>
      <c r="V104" s="23" t="s">
        <v>652</v>
      </c>
      <c r="W104" s="23" t="s">
        <v>272</v>
      </c>
      <c r="X104" s="23"/>
      <c r="Y104" s="24" t="n">
        <f aca="false">IF(T104=0,0,N104/T104)</f>
        <v>4.61538461538462</v>
      </c>
      <c r="Z104" s="24" t="n">
        <f aca="false">IF(T104=0,0,P104/T104)</f>
        <v>8.46153846153846</v>
      </c>
      <c r="AA104" s="24" t="n">
        <f aca="false">IF(T104=0,0,Q104/T104)</f>
        <v>21.1538461538462</v>
      </c>
      <c r="AB104" s="24" t="n">
        <f aca="false">IF(J104=0,0,H104/J104)</f>
        <v>2.36363636363636</v>
      </c>
      <c r="AC104" s="24" t="str">
        <f aca="false">IF(E104="MBT",H104-MBTTargetCost,"")</f>
        <v/>
      </c>
      <c r="AD104" s="24" t="n">
        <f aca="false">IF(H104=0,0,((J104/10)+(Y104*3)+(Z104*8)+(AA104*6)+(S104*0.4))/(H104/1000)*(1+VetDmgBonus*0.3))</f>
        <v>133.821597633136</v>
      </c>
    </row>
    <row r="105" customFormat="false" ht="15" hidden="false" customHeight="false" outlineLevel="0" collapsed="false">
      <c r="A105" s="16" t="s">
        <v>653</v>
      </c>
      <c r="B105" s="35" t="s">
        <v>654</v>
      </c>
      <c r="C105" s="16" t="s">
        <v>588</v>
      </c>
      <c r="D105" s="18" t="s">
        <v>655</v>
      </c>
      <c r="E105" s="16" t="s">
        <v>139</v>
      </c>
      <c r="F105" s="16" t="s">
        <v>140</v>
      </c>
      <c r="G105" s="16" t="s">
        <v>141</v>
      </c>
      <c r="H105" s="15" t="n">
        <v>150</v>
      </c>
      <c r="I105" s="15" t="n">
        <v>8</v>
      </c>
      <c r="J105" s="15" t="n">
        <v>125</v>
      </c>
      <c r="K105" s="16" t="s">
        <v>142</v>
      </c>
      <c r="L105" s="15" t="n">
        <v>54</v>
      </c>
      <c r="M105" s="15" t="n">
        <v>7</v>
      </c>
      <c r="N105" s="15" t="n">
        <v>12</v>
      </c>
      <c r="O105" s="15" t="n">
        <v>6</v>
      </c>
      <c r="P105" s="15" t="n">
        <v>2</v>
      </c>
      <c r="Q105" s="15" t="n">
        <v>1</v>
      </c>
      <c r="R105" s="15" t="n">
        <v>4</v>
      </c>
      <c r="S105" s="19" t="n">
        <v>5.5</v>
      </c>
      <c r="T105" s="19" t="n">
        <v>1</v>
      </c>
      <c r="U105" s="18" t="s">
        <v>656</v>
      </c>
      <c r="V105" s="18" t="s">
        <v>144</v>
      </c>
      <c r="W105" s="18" t="s">
        <v>372</v>
      </c>
      <c r="X105" s="18"/>
      <c r="Y105" s="20" t="n">
        <f aca="false">IF(T105=0,0,N105/T105)</f>
        <v>12</v>
      </c>
      <c r="Z105" s="20" t="n">
        <f aca="false">IF(T105=0,0,P105/T105)</f>
        <v>2</v>
      </c>
      <c r="AA105" s="20" t="n">
        <f aca="false">IF(T105=0,0,Q105/T105)</f>
        <v>1</v>
      </c>
      <c r="AB105" s="20" t="n">
        <f aca="false">IF(J105=0,0,H105/J105)</f>
        <v>1.2</v>
      </c>
      <c r="AC105" s="20" t="str">
        <f aca="false">IF(E105="MBT",H105-MBTTargetCost,"")</f>
        <v/>
      </c>
      <c r="AD105" s="20" t="n">
        <f aca="false">IF(H105=0,0,((J105/10)+(Y105*3)+(Z105*8)+(AA105*6)+(S105*0.4))/(H105/1000)*(1+VetDmgBonus*0.3))</f>
        <v>521.016666666667</v>
      </c>
    </row>
    <row r="106" customFormat="false" ht="15" hidden="false" customHeight="false" outlineLevel="0" collapsed="false">
      <c r="A106" s="21" t="s">
        <v>657</v>
      </c>
      <c r="B106" s="36" t="s">
        <v>654</v>
      </c>
      <c r="C106" s="21" t="s">
        <v>588</v>
      </c>
      <c r="D106" s="23" t="s">
        <v>658</v>
      </c>
      <c r="E106" s="21" t="s">
        <v>214</v>
      </c>
      <c r="F106" s="21" t="s">
        <v>215</v>
      </c>
      <c r="G106" s="21" t="s">
        <v>141</v>
      </c>
      <c r="H106" s="15" t="n">
        <v>720</v>
      </c>
      <c r="I106" s="15" t="n">
        <v>16</v>
      </c>
      <c r="J106" s="15" t="n">
        <v>145</v>
      </c>
      <c r="K106" s="21" t="s">
        <v>142</v>
      </c>
      <c r="L106" s="15" t="n">
        <v>65</v>
      </c>
      <c r="M106" s="15" t="n">
        <v>8</v>
      </c>
      <c r="N106" s="15" t="n">
        <v>18</v>
      </c>
      <c r="O106" s="15" t="n">
        <v>14</v>
      </c>
      <c r="P106" s="15" t="n">
        <v>26</v>
      </c>
      <c r="Q106" s="15" t="n">
        <v>4</v>
      </c>
      <c r="R106" s="15" t="n">
        <v>10</v>
      </c>
      <c r="S106" s="19" t="n">
        <v>5</v>
      </c>
      <c r="T106" s="19" t="n">
        <v>1.4</v>
      </c>
      <c r="U106" s="23" t="s">
        <v>659</v>
      </c>
      <c r="V106" s="23" t="s">
        <v>517</v>
      </c>
      <c r="W106" s="23" t="s">
        <v>218</v>
      </c>
      <c r="X106" s="23"/>
      <c r="Y106" s="24" t="n">
        <f aca="false">IF(T106=0,0,N106/T106)</f>
        <v>12.8571428571429</v>
      </c>
      <c r="Z106" s="24" t="n">
        <f aca="false">IF(T106=0,0,P106/T106)</f>
        <v>18.5714285714286</v>
      </c>
      <c r="AA106" s="24" t="n">
        <f aca="false">IF(T106=0,0,Q106/T106)</f>
        <v>2.85714285714286</v>
      </c>
      <c r="AB106" s="24" t="n">
        <f aca="false">IF(J106=0,0,H106/J106)</f>
        <v>4.96551724137931</v>
      </c>
      <c r="AC106" s="24" t="str">
        <f aca="false">IF(E106="MBT",H106-MBTTargetCost,"")</f>
        <v/>
      </c>
      <c r="AD106" s="24" t="n">
        <f aca="false">IF(H106=0,0,((J106/10)+(Y106*3)+(Z106*8)+(AA106*6)+(S106*0.4))/(H106/1000)*(1+VetDmgBonus*0.3))</f>
        <v>329.645337301587</v>
      </c>
    </row>
    <row r="107" customFormat="false" ht="15" hidden="false" customHeight="false" outlineLevel="0" collapsed="false">
      <c r="A107" s="16" t="s">
        <v>660</v>
      </c>
      <c r="B107" s="35" t="s">
        <v>654</v>
      </c>
      <c r="C107" s="16" t="s">
        <v>588</v>
      </c>
      <c r="D107" s="18" t="s">
        <v>661</v>
      </c>
      <c r="E107" s="16" t="s">
        <v>149</v>
      </c>
      <c r="F107" s="16" t="s">
        <v>662</v>
      </c>
      <c r="G107" s="16" t="s">
        <v>141</v>
      </c>
      <c r="H107" s="15" t="n">
        <v>430</v>
      </c>
      <c r="I107" s="15" t="n">
        <v>13</v>
      </c>
      <c r="J107" s="15" t="n">
        <v>80</v>
      </c>
      <c r="K107" s="16" t="s">
        <v>142</v>
      </c>
      <c r="L107" s="15" t="n">
        <v>45</v>
      </c>
      <c r="M107" s="15" t="n">
        <v>8</v>
      </c>
      <c r="N107" s="15" t="n">
        <v>3</v>
      </c>
      <c r="O107" s="15" t="n">
        <v>17</v>
      </c>
      <c r="P107" s="15" t="n">
        <v>94</v>
      </c>
      <c r="Q107" s="15" t="n">
        <v>2</v>
      </c>
      <c r="R107" s="15" t="n">
        <v>7</v>
      </c>
      <c r="S107" s="19" t="n">
        <v>9</v>
      </c>
      <c r="T107" s="19" t="n">
        <v>4.8</v>
      </c>
      <c r="U107" s="18" t="s">
        <v>449</v>
      </c>
      <c r="V107" s="18" t="s">
        <v>160</v>
      </c>
      <c r="W107" s="18" t="s">
        <v>381</v>
      </c>
      <c r="X107" s="18"/>
      <c r="Y107" s="20" t="n">
        <f aca="false">IF(T107=0,0,N107/T107)</f>
        <v>0.625</v>
      </c>
      <c r="Z107" s="20" t="n">
        <f aca="false">IF(T107=0,0,P107/T107)</f>
        <v>19.5833333333333</v>
      </c>
      <c r="AA107" s="20" t="n">
        <f aca="false">IF(T107=0,0,Q107/T107)</f>
        <v>0.416666666666667</v>
      </c>
      <c r="AB107" s="20" t="n">
        <f aca="false">IF(J107=0,0,H107/J107)</f>
        <v>5.375</v>
      </c>
      <c r="AC107" s="20" t="str">
        <f aca="false">IF(E107="MBT",H107-MBTTargetCost,"")</f>
        <v/>
      </c>
      <c r="AD107" s="20" t="n">
        <f aca="false">IF(H107=0,0,((J107/10)+(Y107*3)+(Z107*8)+(AA107*6)+(S107*0.4))/(H107/1000)*(1+VetDmgBonus*0.3))</f>
        <v>431.604166666667</v>
      </c>
    </row>
    <row r="108" customFormat="false" ht="15" hidden="false" customHeight="false" outlineLevel="0" collapsed="false">
      <c r="A108" s="21" t="s">
        <v>663</v>
      </c>
      <c r="B108" s="36" t="s">
        <v>654</v>
      </c>
      <c r="C108" s="21" t="s">
        <v>588</v>
      </c>
      <c r="D108" s="23" t="s">
        <v>163</v>
      </c>
      <c r="E108" s="21" t="s">
        <v>163</v>
      </c>
      <c r="F108" s="21" t="s">
        <v>164</v>
      </c>
      <c r="G108" s="21" t="s">
        <v>141</v>
      </c>
      <c r="H108" s="15" t="n">
        <v>500</v>
      </c>
      <c r="I108" s="15" t="n">
        <v>10</v>
      </c>
      <c r="J108" s="15" t="n">
        <v>80</v>
      </c>
      <c r="K108" s="21" t="s">
        <v>142</v>
      </c>
      <c r="L108" s="15" t="n">
        <v>50</v>
      </c>
      <c r="M108" s="15" t="n">
        <v>6</v>
      </c>
      <c r="N108" s="15" t="n">
        <v>0</v>
      </c>
      <c r="O108" s="15" t="n">
        <v>0</v>
      </c>
      <c r="P108" s="15" t="n">
        <v>0</v>
      </c>
      <c r="Q108" s="15" t="n">
        <v>0</v>
      </c>
      <c r="R108" s="15" t="n">
        <v>0</v>
      </c>
      <c r="S108" s="19" t="n">
        <v>2</v>
      </c>
      <c r="T108" s="19" t="n">
        <v>0</v>
      </c>
      <c r="U108" s="23" t="s">
        <v>165</v>
      </c>
      <c r="V108" s="23" t="s">
        <v>291</v>
      </c>
      <c r="W108" s="23" t="s">
        <v>292</v>
      </c>
      <c r="X108" s="23"/>
      <c r="Y108" s="24" t="n">
        <f aca="false">IF(T108=0,0,N108/T108)</f>
        <v>0</v>
      </c>
      <c r="Z108" s="24" t="n">
        <f aca="false">IF(T108=0,0,P108/T108)</f>
        <v>0</v>
      </c>
      <c r="AA108" s="24" t="n">
        <f aca="false">IF(T108=0,0,Q108/T108)</f>
        <v>0</v>
      </c>
      <c r="AB108" s="24" t="n">
        <f aca="false">IF(J108=0,0,H108/J108)</f>
        <v>6.25</v>
      </c>
      <c r="AC108" s="24" t="str">
        <f aca="false">IF(E108="MBT",H108-MBTTargetCost,"")</f>
        <v/>
      </c>
      <c r="AD108" s="24" t="n">
        <f aca="false">IF(H108=0,0,((J108/10)+(Y108*3)+(Z108*8)+(AA108*6)+(S108*0.4))/(H108/1000)*(1+VetDmgBonus*0.3))</f>
        <v>18.92</v>
      </c>
    </row>
    <row r="109" customFormat="false" ht="15" hidden="false" customHeight="false" outlineLevel="0" collapsed="false">
      <c r="A109" s="16" t="s">
        <v>664</v>
      </c>
      <c r="B109" s="35" t="s">
        <v>654</v>
      </c>
      <c r="C109" s="16" t="s">
        <v>588</v>
      </c>
      <c r="D109" s="18" t="s">
        <v>665</v>
      </c>
      <c r="E109" s="16" t="s">
        <v>144</v>
      </c>
      <c r="F109" s="16" t="s">
        <v>295</v>
      </c>
      <c r="G109" s="16" t="s">
        <v>141</v>
      </c>
      <c r="H109" s="15" t="n">
        <v>720</v>
      </c>
      <c r="I109" s="15" t="n">
        <v>12</v>
      </c>
      <c r="J109" s="15" t="n">
        <v>390</v>
      </c>
      <c r="K109" s="16" t="s">
        <v>171</v>
      </c>
      <c r="L109" s="15" t="n">
        <v>68</v>
      </c>
      <c r="M109" s="15" t="n">
        <v>8</v>
      </c>
      <c r="N109" s="15" t="n">
        <v>20</v>
      </c>
      <c r="O109" s="15" t="n">
        <v>16</v>
      </c>
      <c r="P109" s="15" t="n">
        <v>22</v>
      </c>
      <c r="Q109" s="15" t="n">
        <v>8</v>
      </c>
      <c r="R109" s="15" t="n">
        <v>10</v>
      </c>
      <c r="S109" s="19" t="n">
        <v>6.5</v>
      </c>
      <c r="T109" s="19" t="n">
        <v>1.2</v>
      </c>
      <c r="U109" s="18" t="s">
        <v>180</v>
      </c>
      <c r="V109" s="18" t="s">
        <v>297</v>
      </c>
      <c r="W109" s="18" t="s">
        <v>139</v>
      </c>
      <c r="X109" s="18"/>
      <c r="Y109" s="20" t="n">
        <f aca="false">IF(T109=0,0,N109/T109)</f>
        <v>16.6666666666667</v>
      </c>
      <c r="Z109" s="20" t="n">
        <f aca="false">IF(T109=0,0,P109/T109)</f>
        <v>18.3333333333333</v>
      </c>
      <c r="AA109" s="20" t="n">
        <f aca="false">IF(T109=0,0,Q109/T109)</f>
        <v>6.66666666666667</v>
      </c>
      <c r="AB109" s="20" t="n">
        <f aca="false">IF(J109=0,0,H109/J109)</f>
        <v>1.84615384615385</v>
      </c>
      <c r="AC109" s="20" t="str">
        <f aca="false">IF(E109="MBT",H109-MBTTargetCost,"")</f>
        <v/>
      </c>
      <c r="AD109" s="20" t="n">
        <f aca="false">IF(H109=0,0,((J109/10)+(Y109*3)+(Z109*8)+(AA109*6)+(S109*0.4))/(H109/1000)*(1+VetDmgBonus*0.3))</f>
        <v>415.467592592593</v>
      </c>
    </row>
    <row r="110" customFormat="false" ht="15" hidden="false" customHeight="false" outlineLevel="0" collapsed="false">
      <c r="A110" s="21" t="s">
        <v>666</v>
      </c>
      <c r="B110" s="36" t="s">
        <v>654</v>
      </c>
      <c r="C110" s="21" t="s">
        <v>588</v>
      </c>
      <c r="D110" s="23" t="s">
        <v>667</v>
      </c>
      <c r="E110" s="21" t="s">
        <v>177</v>
      </c>
      <c r="F110" s="21" t="s">
        <v>668</v>
      </c>
      <c r="G110" s="21" t="s">
        <v>141</v>
      </c>
      <c r="H110" s="15" t="n">
        <v>900</v>
      </c>
      <c r="I110" s="15" t="n">
        <v>12</v>
      </c>
      <c r="J110" s="15" t="n">
        <v>700</v>
      </c>
      <c r="K110" s="21" t="s">
        <v>179</v>
      </c>
      <c r="L110" s="15" t="n">
        <v>58</v>
      </c>
      <c r="M110" s="15" t="n">
        <v>7</v>
      </c>
      <c r="N110" s="15" t="n">
        <v>16</v>
      </c>
      <c r="O110" s="15" t="n">
        <v>26</v>
      </c>
      <c r="P110" s="15" t="n">
        <v>52</v>
      </c>
      <c r="Q110" s="15" t="n">
        <v>4</v>
      </c>
      <c r="R110" s="15" t="n">
        <v>14</v>
      </c>
      <c r="S110" s="19" t="n">
        <v>7</v>
      </c>
      <c r="T110" s="19" t="n">
        <v>2.3</v>
      </c>
      <c r="U110" s="23" t="s">
        <v>180</v>
      </c>
      <c r="V110" s="23" t="s">
        <v>398</v>
      </c>
      <c r="W110" s="23" t="s">
        <v>139</v>
      </c>
      <c r="X110" s="23"/>
      <c r="Y110" s="24" t="n">
        <f aca="false">IF(T110=0,0,N110/T110)</f>
        <v>6.95652173913044</v>
      </c>
      <c r="Z110" s="24" t="n">
        <f aca="false">IF(T110=0,0,P110/T110)</f>
        <v>22.6086956521739</v>
      </c>
      <c r="AA110" s="24" t="n">
        <f aca="false">IF(T110=0,0,Q110/T110)</f>
        <v>1.73913043478261</v>
      </c>
      <c r="AB110" s="24" t="n">
        <f aca="false">IF(J110=0,0,H110/J110)</f>
        <v>1.28571428571429</v>
      </c>
      <c r="AC110" s="24" t="str">
        <f aca="false">IF(E110="MBT",H110-MBTTargetCost,"")</f>
        <v/>
      </c>
      <c r="AD110" s="24" t="n">
        <f aca="false">IF(H110=0,0,((J110/10)+(Y110*3)+(Z110*8)+(AA110*6)+(S110*0.4))/(H110/1000)*(1+VetDmgBonus*0.3))</f>
        <v>340.385507246377</v>
      </c>
    </row>
    <row r="111" customFormat="false" ht="15" hidden="false" customHeight="false" outlineLevel="0" collapsed="false">
      <c r="A111" s="16" t="s">
        <v>669</v>
      </c>
      <c r="B111" s="35" t="s">
        <v>654</v>
      </c>
      <c r="C111" s="16" t="s">
        <v>588</v>
      </c>
      <c r="D111" s="18" t="s">
        <v>670</v>
      </c>
      <c r="E111" s="16" t="s">
        <v>185</v>
      </c>
      <c r="F111" s="16" t="s">
        <v>186</v>
      </c>
      <c r="G111" s="16" t="s">
        <v>141</v>
      </c>
      <c r="H111" s="15" t="n">
        <v>1520</v>
      </c>
      <c r="I111" s="15" t="n">
        <v>18</v>
      </c>
      <c r="J111" s="15" t="n">
        <v>1180</v>
      </c>
      <c r="K111" s="16" t="s">
        <v>179</v>
      </c>
      <c r="L111" s="15" t="n">
        <v>62</v>
      </c>
      <c r="M111" s="15" t="n">
        <v>8</v>
      </c>
      <c r="N111" s="15" t="n">
        <v>20</v>
      </c>
      <c r="O111" s="15" t="n">
        <v>32</v>
      </c>
      <c r="P111" s="15" t="n">
        <v>80</v>
      </c>
      <c r="Q111" s="15" t="n">
        <v>6</v>
      </c>
      <c r="R111" s="15" t="n">
        <v>20</v>
      </c>
      <c r="S111" s="19" t="n">
        <v>8</v>
      </c>
      <c r="T111" s="19" t="n">
        <v>2</v>
      </c>
      <c r="U111" s="18" t="s">
        <v>671</v>
      </c>
      <c r="V111" s="18" t="s">
        <v>231</v>
      </c>
      <c r="W111" s="18" t="s">
        <v>529</v>
      </c>
      <c r="X111" s="18" t="s">
        <v>672</v>
      </c>
      <c r="Y111" s="20" t="n">
        <f aca="false">IF(T111=0,0,N111/T111)</f>
        <v>10</v>
      </c>
      <c r="Z111" s="20" t="n">
        <f aca="false">IF(T111=0,0,P111/T111)</f>
        <v>40</v>
      </c>
      <c r="AA111" s="20" t="n">
        <f aca="false">IF(T111=0,0,Q111/T111)</f>
        <v>3</v>
      </c>
      <c r="AB111" s="20" t="n">
        <f aca="false">IF(J111=0,0,H111/J111)</f>
        <v>1.28813559322034</v>
      </c>
      <c r="AC111" s="20" t="n">
        <f aca="false">IF(E111="MBT",H111-MBTTargetCost,"")</f>
        <v>20</v>
      </c>
      <c r="AD111" s="20" t="n">
        <f aca="false">IF(H111=0,0,((J111/10)+(Y111*3)+(Z111*8)+(AA111*6)+(S111*0.4))/(H111/1000)*(1+VetDmgBonus*0.3))</f>
        <v>345.980263157895</v>
      </c>
    </row>
    <row r="112" customFormat="false" ht="15" hidden="false" customHeight="false" outlineLevel="0" collapsed="false">
      <c r="A112" s="21" t="s">
        <v>673</v>
      </c>
      <c r="B112" s="36" t="s">
        <v>654</v>
      </c>
      <c r="C112" s="21" t="s">
        <v>588</v>
      </c>
      <c r="D112" s="23" t="s">
        <v>674</v>
      </c>
      <c r="E112" s="21" t="s">
        <v>185</v>
      </c>
      <c r="F112" s="21" t="s">
        <v>675</v>
      </c>
      <c r="G112" s="21" t="s">
        <v>141</v>
      </c>
      <c r="H112" s="15" t="n">
        <v>1800</v>
      </c>
      <c r="I112" s="15" t="n">
        <v>24</v>
      </c>
      <c r="J112" s="15" t="n">
        <v>1300</v>
      </c>
      <c r="K112" s="21" t="s">
        <v>179</v>
      </c>
      <c r="L112" s="15" t="n">
        <v>55</v>
      </c>
      <c r="M112" s="15" t="n">
        <v>8</v>
      </c>
      <c r="N112" s="15" t="n">
        <v>22</v>
      </c>
      <c r="O112" s="15" t="n">
        <v>36</v>
      </c>
      <c r="P112" s="15" t="n">
        <v>92</v>
      </c>
      <c r="Q112" s="15" t="n">
        <v>6</v>
      </c>
      <c r="R112" s="15" t="n">
        <v>24</v>
      </c>
      <c r="S112" s="19" t="n">
        <v>8.5</v>
      </c>
      <c r="T112" s="19" t="n">
        <v>2.2</v>
      </c>
      <c r="U112" s="23" t="s">
        <v>676</v>
      </c>
      <c r="V112" s="23" t="s">
        <v>677</v>
      </c>
      <c r="W112" s="23" t="s">
        <v>678</v>
      </c>
      <c r="X112" s="23" t="s">
        <v>679</v>
      </c>
      <c r="Y112" s="24" t="n">
        <f aca="false">IF(T112=0,0,N112/T112)</f>
        <v>10</v>
      </c>
      <c r="Z112" s="24" t="n">
        <f aca="false">IF(T112=0,0,P112/T112)</f>
        <v>41.8181818181818</v>
      </c>
      <c r="AA112" s="24" t="n">
        <f aca="false">IF(T112=0,0,Q112/T112)</f>
        <v>2.72727272727273</v>
      </c>
      <c r="AB112" s="24" t="n">
        <f aca="false">IF(J112=0,0,H112/J112)</f>
        <v>1.38461538461538</v>
      </c>
      <c r="AC112" s="24" t="n">
        <f aca="false">IF(E112="MBT",H112-MBTTargetCost,"")</f>
        <v>300</v>
      </c>
      <c r="AD112" s="24" t="n">
        <f aca="false">IF(H112=0,0,((J112/10)+(Y112*3)+(Z112*8)+(AA112*6)+(S112*0.4))/(H112/1000)*(1+VetDmgBonus*0.3))</f>
        <v>307.156818181818</v>
      </c>
    </row>
    <row r="113" customFormat="false" ht="15" hidden="false" customHeight="false" outlineLevel="0" collapsed="false">
      <c r="A113" s="16" t="s">
        <v>680</v>
      </c>
      <c r="B113" s="35" t="s">
        <v>654</v>
      </c>
      <c r="C113" s="16" t="s">
        <v>588</v>
      </c>
      <c r="D113" s="18" t="s">
        <v>681</v>
      </c>
      <c r="E113" s="16" t="s">
        <v>192</v>
      </c>
      <c r="F113" s="16" t="s">
        <v>539</v>
      </c>
      <c r="G113" s="16" t="s">
        <v>141</v>
      </c>
      <c r="H113" s="15" t="n">
        <v>1300</v>
      </c>
      <c r="I113" s="15" t="n">
        <v>16</v>
      </c>
      <c r="J113" s="15" t="n">
        <v>450</v>
      </c>
      <c r="K113" s="16" t="s">
        <v>171</v>
      </c>
      <c r="L113" s="15" t="n">
        <v>60</v>
      </c>
      <c r="M113" s="15" t="n">
        <v>10</v>
      </c>
      <c r="N113" s="15" t="n">
        <v>38</v>
      </c>
      <c r="O113" s="15" t="n">
        <v>44</v>
      </c>
      <c r="P113" s="15" t="n">
        <v>50</v>
      </c>
      <c r="Q113" s="15" t="n">
        <v>8</v>
      </c>
      <c r="R113" s="15" t="n">
        <v>98</v>
      </c>
      <c r="S113" s="19" t="n">
        <v>15</v>
      </c>
      <c r="T113" s="19" t="n">
        <v>5.8</v>
      </c>
      <c r="U113" s="18" t="s">
        <v>180</v>
      </c>
      <c r="V113" s="18" t="s">
        <v>200</v>
      </c>
      <c r="W113" s="18" t="s">
        <v>218</v>
      </c>
      <c r="X113" s="18"/>
      <c r="Y113" s="20" t="n">
        <f aca="false">IF(T113=0,0,N113/T113)</f>
        <v>6.55172413793104</v>
      </c>
      <c r="Z113" s="20" t="n">
        <f aca="false">IF(T113=0,0,P113/T113)</f>
        <v>8.62068965517242</v>
      </c>
      <c r="AA113" s="20" t="n">
        <f aca="false">IF(T113=0,0,Q113/T113)</f>
        <v>1.37931034482759</v>
      </c>
      <c r="AB113" s="20" t="n">
        <f aca="false">IF(J113=0,0,H113/J113)</f>
        <v>2.88888888888889</v>
      </c>
      <c r="AC113" s="20" t="str">
        <f aca="false">IF(E113="MBT",H113-MBTTargetCost,"")</f>
        <v/>
      </c>
      <c r="AD113" s="20" t="n">
        <f aca="false">IF(H113=0,0,((J113/10)+(Y113*3)+(Z113*8)+(AA113*6)+(S113*0.4))/(H113/1000)*(1+VetDmgBonus*0.3))</f>
        <v>122.299071618037</v>
      </c>
    </row>
    <row r="114" customFormat="false" ht="15" hidden="false" customHeight="false" outlineLevel="0" collapsed="false">
      <c r="A114" s="21" t="s">
        <v>682</v>
      </c>
      <c r="B114" s="36" t="s">
        <v>654</v>
      </c>
      <c r="C114" s="21" t="s">
        <v>588</v>
      </c>
      <c r="D114" s="23" t="s">
        <v>683</v>
      </c>
      <c r="E114" s="21" t="s">
        <v>236</v>
      </c>
      <c r="F114" s="21" t="s">
        <v>543</v>
      </c>
      <c r="G114" s="21" t="s">
        <v>141</v>
      </c>
      <c r="H114" s="15" t="n">
        <v>1450</v>
      </c>
      <c r="I114" s="15" t="n">
        <v>18</v>
      </c>
      <c r="J114" s="15" t="n">
        <v>400</v>
      </c>
      <c r="K114" s="21" t="s">
        <v>171</v>
      </c>
      <c r="L114" s="15" t="n">
        <v>58</v>
      </c>
      <c r="M114" s="15" t="n">
        <v>10</v>
      </c>
      <c r="N114" s="15" t="n">
        <v>62</v>
      </c>
      <c r="O114" s="15" t="n">
        <v>50</v>
      </c>
      <c r="P114" s="15" t="n">
        <v>38</v>
      </c>
      <c r="Q114" s="15" t="n">
        <v>8</v>
      </c>
      <c r="R114" s="15" t="n">
        <v>78</v>
      </c>
      <c r="S114" s="19" t="n">
        <v>18</v>
      </c>
      <c r="T114" s="19" t="n">
        <v>8</v>
      </c>
      <c r="U114" s="23" t="s">
        <v>684</v>
      </c>
      <c r="V114" s="23" t="s">
        <v>200</v>
      </c>
      <c r="W114" s="23" t="s">
        <v>545</v>
      </c>
      <c r="X114" s="23"/>
      <c r="Y114" s="24" t="n">
        <f aca="false">IF(T114=0,0,N114/T114)</f>
        <v>7.75</v>
      </c>
      <c r="Z114" s="24" t="n">
        <f aca="false">IF(T114=0,0,P114/T114)</f>
        <v>4.75</v>
      </c>
      <c r="AA114" s="24" t="n">
        <f aca="false">IF(T114=0,0,Q114/T114)</f>
        <v>1</v>
      </c>
      <c r="AB114" s="24" t="n">
        <f aca="false">IF(J114=0,0,H114/J114)</f>
        <v>3.625</v>
      </c>
      <c r="AC114" s="24" t="str">
        <f aca="false">IF(E114="MBT",H114-MBTTargetCost,"")</f>
        <v/>
      </c>
      <c r="AD114" s="24" t="n">
        <f aca="false">IF(H114=0,0,((J114/10)+(Y114*3)+(Z114*8)+(AA114*6)+(S114*0.4))/(H114/1000)*(1+VetDmgBonus*0.3))</f>
        <v>84.8508620689655</v>
      </c>
    </row>
    <row r="115" customFormat="false" ht="15" hidden="false" customHeight="false" outlineLevel="0" collapsed="false">
      <c r="A115" s="16" t="s">
        <v>685</v>
      </c>
      <c r="B115" s="35" t="s">
        <v>654</v>
      </c>
      <c r="C115" s="16" t="s">
        <v>588</v>
      </c>
      <c r="D115" s="18" t="s">
        <v>686</v>
      </c>
      <c r="E115" s="16" t="s">
        <v>198</v>
      </c>
      <c r="F115" s="16" t="s">
        <v>687</v>
      </c>
      <c r="G115" s="16" t="s">
        <v>200</v>
      </c>
      <c r="H115" s="15" t="n">
        <v>1300</v>
      </c>
      <c r="I115" s="15" t="n">
        <v>16</v>
      </c>
      <c r="J115" s="15" t="n">
        <v>320</v>
      </c>
      <c r="K115" s="16" t="s">
        <v>200</v>
      </c>
      <c r="L115" s="15" t="n">
        <v>100</v>
      </c>
      <c r="M115" s="15" t="n">
        <v>9</v>
      </c>
      <c r="N115" s="15" t="n">
        <v>8</v>
      </c>
      <c r="O115" s="15" t="n">
        <v>16</v>
      </c>
      <c r="P115" s="15" t="n">
        <v>70</v>
      </c>
      <c r="Q115" s="15" t="n">
        <v>8</v>
      </c>
      <c r="R115" s="15" t="n">
        <v>7</v>
      </c>
      <c r="S115" s="19" t="n">
        <v>7.5</v>
      </c>
      <c r="T115" s="19" t="n">
        <v>3.2</v>
      </c>
      <c r="U115" s="18" t="s">
        <v>688</v>
      </c>
      <c r="V115" s="18" t="s">
        <v>245</v>
      </c>
      <c r="W115" s="18" t="s">
        <v>689</v>
      </c>
      <c r="X115" s="18"/>
      <c r="Y115" s="20" t="n">
        <f aca="false">IF(T115=0,0,N115/T115)</f>
        <v>2.5</v>
      </c>
      <c r="Z115" s="20" t="n">
        <f aca="false">IF(T115=0,0,P115/T115)</f>
        <v>21.875</v>
      </c>
      <c r="AA115" s="20" t="n">
        <f aca="false">IF(T115=0,0,Q115/T115)</f>
        <v>2.5</v>
      </c>
      <c r="AB115" s="20" t="n">
        <f aca="false">IF(J115=0,0,H115/J115)</f>
        <v>4.0625</v>
      </c>
      <c r="AC115" s="20" t="str">
        <f aca="false">IF(E115="MBT",H115-MBTTargetCost,"")</f>
        <v/>
      </c>
      <c r="AD115" s="20" t="n">
        <f aca="false">IF(H115=0,0,((J115/10)+(Y115*3)+(Z115*8)+(AA115*6)+(S115*0.4))/(H115/1000)*(1+VetDmgBonus*0.3))</f>
        <v>192.259615384615</v>
      </c>
    </row>
    <row r="116" customFormat="false" ht="15" hidden="false" customHeight="false" outlineLevel="0" collapsed="false">
      <c r="A116" s="21" t="s">
        <v>690</v>
      </c>
      <c r="B116" s="36" t="s">
        <v>654</v>
      </c>
      <c r="C116" s="21" t="s">
        <v>588</v>
      </c>
      <c r="D116" s="23" t="s">
        <v>691</v>
      </c>
      <c r="E116" s="21" t="s">
        <v>198</v>
      </c>
      <c r="F116" s="21" t="s">
        <v>692</v>
      </c>
      <c r="G116" s="21" t="s">
        <v>200</v>
      </c>
      <c r="H116" s="15" t="n">
        <v>1700</v>
      </c>
      <c r="I116" s="15" t="n">
        <v>20</v>
      </c>
      <c r="J116" s="15" t="n">
        <v>390</v>
      </c>
      <c r="K116" s="21" t="s">
        <v>200</v>
      </c>
      <c r="L116" s="15" t="n">
        <v>95</v>
      </c>
      <c r="M116" s="15" t="n">
        <v>10</v>
      </c>
      <c r="N116" s="15" t="n">
        <v>10</v>
      </c>
      <c r="O116" s="15" t="n">
        <v>20</v>
      </c>
      <c r="P116" s="15" t="n">
        <v>90</v>
      </c>
      <c r="Q116" s="15" t="n">
        <v>8</v>
      </c>
      <c r="R116" s="15" t="n">
        <v>8</v>
      </c>
      <c r="S116" s="19" t="n">
        <v>8.5</v>
      </c>
      <c r="T116" s="19" t="n">
        <v>2.9</v>
      </c>
      <c r="U116" s="23" t="s">
        <v>180</v>
      </c>
      <c r="V116" s="23" t="s">
        <v>245</v>
      </c>
      <c r="W116" s="23" t="s">
        <v>381</v>
      </c>
      <c r="X116" s="23"/>
      <c r="Y116" s="24" t="n">
        <f aca="false">IF(T116=0,0,N116/T116)</f>
        <v>3.44827586206897</v>
      </c>
      <c r="Z116" s="24" t="n">
        <f aca="false">IF(T116=0,0,P116/T116)</f>
        <v>31.0344827586207</v>
      </c>
      <c r="AA116" s="24" t="n">
        <f aca="false">IF(T116=0,0,Q116/T116)</f>
        <v>2.75862068965517</v>
      </c>
      <c r="AB116" s="24" t="n">
        <f aca="false">IF(J116=0,0,H116/J116)</f>
        <v>4.35897435897436</v>
      </c>
      <c r="AC116" s="24" t="str">
        <f aca="false">IF(E116="MBT",H116-MBTTargetCost,"")</f>
        <v/>
      </c>
      <c r="AD116" s="24" t="n">
        <f aca="false">IF(H116=0,0,((J116/10)+(Y116*3)+(Z116*8)+(AA116*6)+(S116*0.4))/(H116/1000)*(1+VetDmgBonus*0.3))</f>
        <v>200.81784989858</v>
      </c>
    </row>
    <row r="117" customFormat="false" ht="15" hidden="false" customHeight="false" outlineLevel="0" collapsed="false">
      <c r="A117" s="16" t="s">
        <v>693</v>
      </c>
      <c r="B117" s="35" t="s">
        <v>654</v>
      </c>
      <c r="C117" s="16" t="s">
        <v>588</v>
      </c>
      <c r="D117" s="18" t="s">
        <v>694</v>
      </c>
      <c r="E117" s="16" t="s">
        <v>206</v>
      </c>
      <c r="F117" s="16" t="s">
        <v>695</v>
      </c>
      <c r="G117" s="16" t="s">
        <v>200</v>
      </c>
      <c r="H117" s="15" t="n">
        <v>1450</v>
      </c>
      <c r="I117" s="15" t="n">
        <v>18</v>
      </c>
      <c r="J117" s="15" t="n">
        <v>300</v>
      </c>
      <c r="K117" s="16" t="s">
        <v>200</v>
      </c>
      <c r="L117" s="15" t="n">
        <v>134</v>
      </c>
      <c r="M117" s="15" t="n">
        <v>11</v>
      </c>
      <c r="N117" s="15" t="n">
        <v>8</v>
      </c>
      <c r="O117" s="15" t="n">
        <v>12</v>
      </c>
      <c r="P117" s="15" t="n">
        <v>34</v>
      </c>
      <c r="Q117" s="15" t="n">
        <v>50</v>
      </c>
      <c r="R117" s="15" t="n">
        <v>14</v>
      </c>
      <c r="S117" s="19" t="n">
        <v>11</v>
      </c>
      <c r="T117" s="19" t="n">
        <v>3.2</v>
      </c>
      <c r="U117" s="18" t="s">
        <v>696</v>
      </c>
      <c r="V117" s="18" t="s">
        <v>497</v>
      </c>
      <c r="W117" s="18" t="s">
        <v>210</v>
      </c>
      <c r="X117" s="18"/>
      <c r="Y117" s="20" t="n">
        <f aca="false">IF(T117=0,0,N117/T117)</f>
        <v>2.5</v>
      </c>
      <c r="Z117" s="20" t="n">
        <f aca="false">IF(T117=0,0,P117/T117)</f>
        <v>10.625</v>
      </c>
      <c r="AA117" s="20" t="n">
        <f aca="false">IF(T117=0,0,Q117/T117)</f>
        <v>15.625</v>
      </c>
      <c r="AB117" s="20" t="n">
        <f aca="false">IF(J117=0,0,H117/J117)</f>
        <v>4.83333333333333</v>
      </c>
      <c r="AC117" s="20" t="str">
        <f aca="false">IF(E117="MBT",H117-MBTTargetCost,"")</f>
        <v/>
      </c>
      <c r="AD117" s="20" t="n">
        <f aca="false">IF(H117=0,0,((J117/10)+(Y117*3)+(Z117*8)+(AA117*6)+(S117*0.4))/(H117/1000)*(1+VetDmgBonus*0.3))</f>
        <v>163.585344827586</v>
      </c>
    </row>
    <row r="118" customFormat="false" ht="15" hidden="false" customHeight="false" outlineLevel="0" collapsed="false">
      <c r="A118" s="21" t="s">
        <v>697</v>
      </c>
      <c r="B118" s="36" t="s">
        <v>654</v>
      </c>
      <c r="C118" s="21" t="s">
        <v>588</v>
      </c>
      <c r="D118" s="23" t="s">
        <v>698</v>
      </c>
      <c r="E118" s="21" t="s">
        <v>206</v>
      </c>
      <c r="F118" s="21" t="s">
        <v>699</v>
      </c>
      <c r="G118" s="21" t="s">
        <v>200</v>
      </c>
      <c r="H118" s="15" t="n">
        <v>1850</v>
      </c>
      <c r="I118" s="15" t="n">
        <v>22</v>
      </c>
      <c r="J118" s="15" t="n">
        <v>380</v>
      </c>
      <c r="K118" s="21" t="s">
        <v>200</v>
      </c>
      <c r="L118" s="15" t="n">
        <v>132</v>
      </c>
      <c r="M118" s="15" t="n">
        <v>12</v>
      </c>
      <c r="N118" s="15" t="n">
        <v>10</v>
      </c>
      <c r="O118" s="15" t="n">
        <v>16</v>
      </c>
      <c r="P118" s="15" t="n">
        <v>46</v>
      </c>
      <c r="Q118" s="15" t="n">
        <v>58</v>
      </c>
      <c r="R118" s="15" t="n">
        <v>20</v>
      </c>
      <c r="S118" s="19" t="n">
        <v>13</v>
      </c>
      <c r="T118" s="19" t="n">
        <v>3.3</v>
      </c>
      <c r="U118" s="23" t="s">
        <v>700</v>
      </c>
      <c r="V118" s="23" t="s">
        <v>701</v>
      </c>
      <c r="W118" s="23" t="s">
        <v>492</v>
      </c>
      <c r="X118" s="23" t="s">
        <v>702</v>
      </c>
      <c r="Y118" s="24" t="n">
        <f aca="false">IF(T118=0,0,N118/T118)</f>
        <v>3.03030303030303</v>
      </c>
      <c r="Z118" s="24" t="n">
        <f aca="false">IF(T118=0,0,P118/T118)</f>
        <v>13.9393939393939</v>
      </c>
      <c r="AA118" s="24" t="n">
        <f aca="false">IF(T118=0,0,Q118/T118)</f>
        <v>17.5757575757576</v>
      </c>
      <c r="AB118" s="24" t="n">
        <f aca="false">IF(J118=0,0,H118/J118)</f>
        <v>4.86842105263158</v>
      </c>
      <c r="AC118" s="24" t="str">
        <f aca="false">IF(E118="MBT",H118-MBTTargetCost,"")</f>
        <v/>
      </c>
      <c r="AD118" s="24" t="n">
        <f aca="false">IF(H118=0,0,((J118/10)+(Y118*3)+(Z118*8)+(AA118*6)+(S118*0.4))/(H118/1000)*(1+VetDmgBonus*0.3))</f>
        <v>156.462244062244</v>
      </c>
    </row>
    <row r="119" customFormat="false" ht="15" hidden="false" customHeight="false" outlineLevel="0" collapsed="false">
      <c r="A119" s="16" t="s">
        <v>703</v>
      </c>
      <c r="B119" s="35" t="s">
        <v>654</v>
      </c>
      <c r="C119" s="16" t="s">
        <v>588</v>
      </c>
      <c r="D119" s="18" t="s">
        <v>248</v>
      </c>
      <c r="E119" s="16" t="s">
        <v>206</v>
      </c>
      <c r="F119" s="16" t="s">
        <v>249</v>
      </c>
      <c r="G119" s="16" t="s">
        <v>200</v>
      </c>
      <c r="H119" s="15" t="n">
        <v>2050</v>
      </c>
      <c r="I119" s="15" t="n">
        <v>24</v>
      </c>
      <c r="J119" s="15" t="n">
        <v>360</v>
      </c>
      <c r="K119" s="16" t="s">
        <v>200</v>
      </c>
      <c r="L119" s="15" t="n">
        <v>136</v>
      </c>
      <c r="M119" s="15" t="n">
        <v>12</v>
      </c>
      <c r="N119" s="15" t="n">
        <v>10</v>
      </c>
      <c r="O119" s="15" t="n">
        <v>16</v>
      </c>
      <c r="P119" s="15" t="n">
        <v>50</v>
      </c>
      <c r="Q119" s="15" t="n">
        <v>64</v>
      </c>
      <c r="R119" s="15" t="n">
        <v>22</v>
      </c>
      <c r="S119" s="19" t="n">
        <v>13</v>
      </c>
      <c r="T119" s="19" t="n">
        <v>3.1</v>
      </c>
      <c r="U119" s="18" t="s">
        <v>704</v>
      </c>
      <c r="V119" s="18" t="s">
        <v>251</v>
      </c>
      <c r="W119" s="18" t="s">
        <v>252</v>
      </c>
      <c r="X119" s="18"/>
      <c r="Y119" s="20" t="n">
        <f aca="false">IF(T119=0,0,N119/T119)</f>
        <v>3.2258064516129</v>
      </c>
      <c r="Z119" s="20" t="n">
        <f aca="false">IF(T119=0,0,P119/T119)</f>
        <v>16.1290322580645</v>
      </c>
      <c r="AA119" s="20" t="n">
        <f aca="false">IF(T119=0,0,Q119/T119)</f>
        <v>20.6451612903226</v>
      </c>
      <c r="AB119" s="20" t="n">
        <f aca="false">IF(J119=0,0,H119/J119)</f>
        <v>5.69444444444445</v>
      </c>
      <c r="AC119" s="20" t="str">
        <f aca="false">IF(E119="MBT",H119-MBTTargetCost,"")</f>
        <v/>
      </c>
      <c r="AD119" s="20" t="n">
        <f aca="false">IF(H119=0,0,((J119/10)+(Y119*3)+(Z119*8)+(AA119*6)+(S119*0.4))/(H119/1000)*(1+VetDmgBonus*0.3))</f>
        <v>159.299606608969</v>
      </c>
    </row>
    <row r="120" customFormat="false" ht="15" hidden="false" customHeight="false" outlineLevel="0" collapsed="false">
      <c r="A120" s="21" t="s">
        <v>705</v>
      </c>
      <c r="B120" s="36" t="s">
        <v>654</v>
      </c>
      <c r="C120" s="21" t="s">
        <v>588</v>
      </c>
      <c r="D120" s="23" t="s">
        <v>706</v>
      </c>
      <c r="E120" s="21" t="s">
        <v>357</v>
      </c>
      <c r="F120" s="21" t="s">
        <v>707</v>
      </c>
      <c r="G120" s="21" t="s">
        <v>200</v>
      </c>
      <c r="H120" s="15" t="n">
        <v>1250</v>
      </c>
      <c r="I120" s="15" t="n">
        <v>16</v>
      </c>
      <c r="J120" s="15" t="n">
        <v>280</v>
      </c>
      <c r="K120" s="21" t="s">
        <v>200</v>
      </c>
      <c r="L120" s="15" t="n">
        <v>116</v>
      </c>
      <c r="M120" s="15" t="n">
        <v>10</v>
      </c>
      <c r="N120" s="15" t="n">
        <v>14</v>
      </c>
      <c r="O120" s="15" t="n">
        <v>20</v>
      </c>
      <c r="P120" s="15" t="n">
        <v>38</v>
      </c>
      <c r="Q120" s="15" t="n">
        <v>14</v>
      </c>
      <c r="R120" s="15" t="n">
        <v>30</v>
      </c>
      <c r="S120" s="19" t="n">
        <v>10.5</v>
      </c>
      <c r="T120" s="19" t="n">
        <v>4</v>
      </c>
      <c r="U120" s="23" t="s">
        <v>708</v>
      </c>
      <c r="V120" s="23" t="s">
        <v>206</v>
      </c>
      <c r="W120" s="23" t="s">
        <v>218</v>
      </c>
      <c r="X120" s="23"/>
      <c r="Y120" s="24" t="n">
        <f aca="false">IF(T120=0,0,N120/T120)</f>
        <v>3.5</v>
      </c>
      <c r="Z120" s="24" t="n">
        <f aca="false">IF(T120=0,0,P120/T120)</f>
        <v>9.5</v>
      </c>
      <c r="AA120" s="24" t="n">
        <f aca="false">IF(T120=0,0,Q120/T120)</f>
        <v>3.5</v>
      </c>
      <c r="AB120" s="24" t="n">
        <f aca="false">IF(J120=0,0,H120/J120)</f>
        <v>4.46428571428571</v>
      </c>
      <c r="AC120" s="24" t="str">
        <f aca="false">IF(E120="MBT",H120-MBTTargetCost,"")</f>
        <v/>
      </c>
      <c r="AD120" s="24" t="n">
        <f aca="false">IF(H120=0,0,((J120/10)+(Y120*3)+(Z120*8)+(AA120*6)+(S120*0.4))/(H120/1000)*(1+VetDmgBonus*0.3))</f>
        <v>120.142</v>
      </c>
    </row>
    <row r="121" customFormat="false" ht="15" hidden="false" customHeight="false" outlineLevel="0" collapsed="false">
      <c r="A121" s="16" t="s">
        <v>709</v>
      </c>
      <c r="B121" s="35" t="s">
        <v>654</v>
      </c>
      <c r="C121" s="16" t="s">
        <v>588</v>
      </c>
      <c r="D121" s="18" t="s">
        <v>710</v>
      </c>
      <c r="E121" s="16" t="s">
        <v>711</v>
      </c>
      <c r="F121" s="16" t="s">
        <v>712</v>
      </c>
      <c r="G121" s="16" t="s">
        <v>141</v>
      </c>
      <c r="H121" s="15" t="n">
        <v>1800</v>
      </c>
      <c r="I121" s="15" t="n">
        <v>22</v>
      </c>
      <c r="J121" s="15" t="n">
        <v>320</v>
      </c>
      <c r="K121" s="16" t="s">
        <v>223</v>
      </c>
      <c r="L121" s="15" t="n">
        <v>55</v>
      </c>
      <c r="M121" s="15" t="n">
        <v>8</v>
      </c>
      <c r="N121" s="15" t="n">
        <v>20</v>
      </c>
      <c r="O121" s="15" t="n">
        <v>40</v>
      </c>
      <c r="P121" s="15" t="n">
        <v>80</v>
      </c>
      <c r="Q121" s="15" t="n">
        <v>20</v>
      </c>
      <c r="R121" s="15" t="n">
        <v>80</v>
      </c>
      <c r="S121" s="19" t="n">
        <v>28</v>
      </c>
      <c r="T121" s="19" t="n">
        <v>16</v>
      </c>
      <c r="U121" s="18" t="s">
        <v>713</v>
      </c>
      <c r="V121" s="18" t="s">
        <v>714</v>
      </c>
      <c r="W121" s="18" t="s">
        <v>715</v>
      </c>
      <c r="X121" s="18" t="s">
        <v>333</v>
      </c>
      <c r="Y121" s="20" t="n">
        <f aca="false">IF(T121=0,0,N121/T121)</f>
        <v>1.25</v>
      </c>
      <c r="Z121" s="20" t="n">
        <f aca="false">IF(T121=0,0,P121/T121)</f>
        <v>5</v>
      </c>
      <c r="AA121" s="20" t="n">
        <f aca="false">IF(T121=0,0,Q121/T121)</f>
        <v>1.25</v>
      </c>
      <c r="AB121" s="20" t="n">
        <f aca="false">IF(J121=0,0,H121/J121)</f>
        <v>5.625</v>
      </c>
      <c r="AC121" s="20" t="str">
        <f aca="false">IF(E121="MBT",H121-MBTTargetCost,"")</f>
        <v/>
      </c>
      <c r="AD121" s="20" t="n">
        <f aca="false">IF(H121=0,0,((J121/10)+(Y121*3)+(Z121*8)+(AA121*6)+(S121*0.4))/(H121/1000)*(1+VetDmgBonus*0.3))</f>
        <v>56.4076388888889</v>
      </c>
    </row>
    <row r="122" customFormat="false" ht="15" hidden="false" customHeight="false" outlineLevel="0" collapsed="false">
      <c r="A122" s="21" t="s">
        <v>716</v>
      </c>
      <c r="B122" s="36" t="s">
        <v>654</v>
      </c>
      <c r="C122" s="21" t="s">
        <v>588</v>
      </c>
      <c r="D122" s="23" t="s">
        <v>717</v>
      </c>
      <c r="E122" s="21" t="s">
        <v>261</v>
      </c>
      <c r="F122" s="21" t="s">
        <v>363</v>
      </c>
      <c r="G122" s="21" t="s">
        <v>263</v>
      </c>
      <c r="H122" s="15" t="n">
        <v>2300</v>
      </c>
      <c r="I122" s="15" t="n">
        <v>28</v>
      </c>
      <c r="J122" s="15" t="n">
        <v>720</v>
      </c>
      <c r="K122" s="21" t="s">
        <v>261</v>
      </c>
      <c r="L122" s="15" t="n">
        <v>40</v>
      </c>
      <c r="M122" s="15" t="n">
        <v>8</v>
      </c>
      <c r="N122" s="15" t="n">
        <v>0</v>
      </c>
      <c r="O122" s="15" t="n">
        <v>0</v>
      </c>
      <c r="P122" s="15" t="n">
        <v>0</v>
      </c>
      <c r="Q122" s="15" t="n">
        <v>0</v>
      </c>
      <c r="R122" s="15" t="n">
        <v>0</v>
      </c>
      <c r="S122" s="19" t="n">
        <v>8</v>
      </c>
      <c r="T122" s="19" t="n">
        <v>8.5</v>
      </c>
      <c r="U122" s="23" t="s">
        <v>718</v>
      </c>
      <c r="V122" s="23" t="s">
        <v>365</v>
      </c>
      <c r="W122" s="23" t="s">
        <v>719</v>
      </c>
      <c r="X122" s="23"/>
      <c r="Y122" s="24" t="n">
        <f aca="false">IF(T122=0,0,N122/T122)</f>
        <v>0</v>
      </c>
      <c r="Z122" s="24" t="n">
        <f aca="false">IF(T122=0,0,P122/T122)</f>
        <v>0</v>
      </c>
      <c r="AA122" s="24" t="n">
        <f aca="false">IF(T122=0,0,Q122/T122)</f>
        <v>0</v>
      </c>
      <c r="AB122" s="24" t="n">
        <f aca="false">IF(J122=0,0,H122/J122)</f>
        <v>3.19444444444444</v>
      </c>
      <c r="AC122" s="24" t="str">
        <f aca="false">IF(E122="MBT",H122-MBTTargetCost,"")</f>
        <v/>
      </c>
      <c r="AD122" s="24" t="n">
        <f aca="false">IF(H122=0,0,((J122/10)+(Y122*3)+(Z122*8)+(AA122*6)+(S122*0.4))/(H122/1000)*(1+VetDmgBonus*0.3))</f>
        <v>35.1478260869565</v>
      </c>
    </row>
    <row r="123" customFormat="false" ht="15" hidden="false" customHeight="false" outlineLevel="0" collapsed="false">
      <c r="A123" s="16" t="s">
        <v>720</v>
      </c>
      <c r="B123" s="35" t="s">
        <v>654</v>
      </c>
      <c r="C123" s="16" t="s">
        <v>588</v>
      </c>
      <c r="D123" s="18" t="s">
        <v>721</v>
      </c>
      <c r="E123" s="16" t="s">
        <v>261</v>
      </c>
      <c r="F123" s="16" t="s">
        <v>722</v>
      </c>
      <c r="G123" s="16" t="s">
        <v>263</v>
      </c>
      <c r="H123" s="15" t="n">
        <v>6000</v>
      </c>
      <c r="I123" s="15" t="n">
        <v>50</v>
      </c>
      <c r="J123" s="15" t="n">
        <v>2800</v>
      </c>
      <c r="K123" s="16" t="s">
        <v>261</v>
      </c>
      <c r="L123" s="15" t="n">
        <v>42</v>
      </c>
      <c r="M123" s="15" t="n">
        <v>16</v>
      </c>
      <c r="N123" s="15" t="n">
        <v>20</v>
      </c>
      <c r="O123" s="15" t="n">
        <v>30</v>
      </c>
      <c r="P123" s="15" t="n">
        <v>40</v>
      </c>
      <c r="Q123" s="15" t="n">
        <v>80</v>
      </c>
      <c r="R123" s="15" t="n">
        <v>40</v>
      </c>
      <c r="S123" s="19" t="n">
        <v>16</v>
      </c>
      <c r="T123" s="19" t="n">
        <v>3</v>
      </c>
      <c r="U123" s="18" t="s">
        <v>723</v>
      </c>
      <c r="V123" s="18" t="s">
        <v>724</v>
      </c>
      <c r="W123" s="18" t="s">
        <v>725</v>
      </c>
      <c r="X123" s="18" t="s">
        <v>726</v>
      </c>
      <c r="Y123" s="20" t="n">
        <f aca="false">IF(T123=0,0,N123/T123)</f>
        <v>6.66666666666667</v>
      </c>
      <c r="Z123" s="20" t="n">
        <f aca="false">IF(T123=0,0,P123/T123)</f>
        <v>13.3333333333333</v>
      </c>
      <c r="AA123" s="20" t="n">
        <f aca="false">IF(T123=0,0,Q123/T123)</f>
        <v>26.6666666666667</v>
      </c>
      <c r="AB123" s="20" t="n">
        <f aca="false">IF(J123=0,0,H123/J123)</f>
        <v>2.14285714285714</v>
      </c>
      <c r="AC123" s="20" t="str">
        <f aca="false">IF(E123="MBT",H123-MBTTargetCost,"")</f>
        <v/>
      </c>
      <c r="AD123" s="20" t="n">
        <f aca="false">IF(H123=0,0,((J123/10)+(Y123*3)+(Z123*8)+(AA123*6)+(S123*0.4))/(H123/1000)*(1+VetDmgBonus*0.3))</f>
        <v>102.674444444444</v>
      </c>
    </row>
    <row r="124" customFormat="false" ht="15" hidden="false" customHeight="false" outlineLevel="0" collapsed="false">
      <c r="A124" s="21" t="s">
        <v>727</v>
      </c>
      <c r="B124" s="37" t="s">
        <v>728</v>
      </c>
      <c r="C124" s="21" t="s">
        <v>588</v>
      </c>
      <c r="D124" s="23" t="s">
        <v>729</v>
      </c>
      <c r="E124" s="21" t="s">
        <v>139</v>
      </c>
      <c r="F124" s="21" t="s">
        <v>140</v>
      </c>
      <c r="G124" s="21" t="s">
        <v>141</v>
      </c>
      <c r="H124" s="15" t="n">
        <v>145</v>
      </c>
      <c r="I124" s="15" t="n">
        <v>8</v>
      </c>
      <c r="J124" s="15" t="n">
        <v>120</v>
      </c>
      <c r="K124" s="21" t="s">
        <v>142</v>
      </c>
      <c r="L124" s="15" t="n">
        <v>56</v>
      </c>
      <c r="M124" s="15" t="n">
        <v>7</v>
      </c>
      <c r="N124" s="15" t="n">
        <v>12</v>
      </c>
      <c r="O124" s="15" t="n">
        <v>6</v>
      </c>
      <c r="P124" s="15" t="n">
        <v>2</v>
      </c>
      <c r="Q124" s="15" t="n">
        <v>1</v>
      </c>
      <c r="R124" s="15" t="n">
        <v>4</v>
      </c>
      <c r="S124" s="19" t="n">
        <v>5.5</v>
      </c>
      <c r="T124" s="19" t="n">
        <v>1</v>
      </c>
      <c r="U124" s="23" t="s">
        <v>730</v>
      </c>
      <c r="V124" s="23" t="s">
        <v>144</v>
      </c>
      <c r="W124" s="23" t="s">
        <v>372</v>
      </c>
      <c r="X124" s="23"/>
      <c r="Y124" s="24" t="n">
        <f aca="false">IF(T124=0,0,N124/T124)</f>
        <v>12</v>
      </c>
      <c r="Z124" s="24" t="n">
        <f aca="false">IF(T124=0,0,P124/T124)</f>
        <v>2</v>
      </c>
      <c r="AA124" s="24" t="n">
        <f aca="false">IF(T124=0,0,Q124/T124)</f>
        <v>1</v>
      </c>
      <c r="AB124" s="24" t="n">
        <f aca="false">IF(J124=0,0,H124/J124)</f>
        <v>1.20833333333333</v>
      </c>
      <c r="AC124" s="24" t="str">
        <f aca="false">IF(E124="MBT",H124-MBTTargetCost,"")</f>
        <v/>
      </c>
      <c r="AD124" s="24" t="n">
        <f aca="false">IF(H124=0,0,((J124/10)+(Y124*3)+(Z124*8)+(AA124*6)+(S124*0.4))/(H124/1000)*(1+VetDmgBonus*0.3))</f>
        <v>535.275862068966</v>
      </c>
    </row>
    <row r="125" customFormat="false" ht="15" hidden="false" customHeight="false" outlineLevel="0" collapsed="false">
      <c r="A125" s="16" t="s">
        <v>731</v>
      </c>
      <c r="B125" s="38" t="s">
        <v>728</v>
      </c>
      <c r="C125" s="16" t="s">
        <v>588</v>
      </c>
      <c r="D125" s="18" t="s">
        <v>732</v>
      </c>
      <c r="E125" s="16" t="s">
        <v>214</v>
      </c>
      <c r="F125" s="16" t="s">
        <v>215</v>
      </c>
      <c r="G125" s="16" t="s">
        <v>141</v>
      </c>
      <c r="H125" s="15" t="n">
        <v>700</v>
      </c>
      <c r="I125" s="15" t="n">
        <v>16</v>
      </c>
      <c r="J125" s="15" t="n">
        <v>140</v>
      </c>
      <c r="K125" s="16" t="s">
        <v>142</v>
      </c>
      <c r="L125" s="15" t="n">
        <v>66</v>
      </c>
      <c r="M125" s="15" t="n">
        <v>8</v>
      </c>
      <c r="N125" s="15" t="n">
        <v>18</v>
      </c>
      <c r="O125" s="15" t="n">
        <v>14</v>
      </c>
      <c r="P125" s="15" t="n">
        <v>26</v>
      </c>
      <c r="Q125" s="15" t="n">
        <v>4</v>
      </c>
      <c r="R125" s="15" t="n">
        <v>10</v>
      </c>
      <c r="S125" s="19" t="n">
        <v>5</v>
      </c>
      <c r="T125" s="19" t="n">
        <v>1.4</v>
      </c>
      <c r="U125" s="18" t="s">
        <v>659</v>
      </c>
      <c r="V125" s="18" t="s">
        <v>517</v>
      </c>
      <c r="W125" s="18" t="s">
        <v>595</v>
      </c>
      <c r="X125" s="18"/>
      <c r="Y125" s="20" t="n">
        <f aca="false">IF(T125=0,0,N125/T125)</f>
        <v>12.8571428571429</v>
      </c>
      <c r="Z125" s="20" t="n">
        <f aca="false">IF(T125=0,0,P125/T125)</f>
        <v>18.5714285714286</v>
      </c>
      <c r="AA125" s="20" t="n">
        <f aca="false">IF(T125=0,0,Q125/T125)</f>
        <v>2.85714285714286</v>
      </c>
      <c r="AB125" s="20" t="n">
        <f aca="false">IF(J125=0,0,H125/J125)</f>
        <v>5</v>
      </c>
      <c r="AC125" s="20" t="str">
        <f aca="false">IF(E125="MBT",H125-MBTTargetCost,"")</f>
        <v/>
      </c>
      <c r="AD125" s="20" t="n">
        <f aca="false">IF(H125=0,0,((J125/10)+(Y125*3)+(Z125*8)+(AA125*6)+(S125*0.4))/(H125/1000)*(1+VetDmgBonus*0.3))</f>
        <v>338.295918367347</v>
      </c>
    </row>
    <row r="126" customFormat="false" ht="15" hidden="false" customHeight="false" outlineLevel="0" collapsed="false">
      <c r="A126" s="21" t="s">
        <v>733</v>
      </c>
      <c r="B126" s="37" t="s">
        <v>728</v>
      </c>
      <c r="C126" s="21" t="s">
        <v>588</v>
      </c>
      <c r="D126" s="23" t="s">
        <v>734</v>
      </c>
      <c r="E126" s="21" t="s">
        <v>149</v>
      </c>
      <c r="F126" s="21" t="s">
        <v>150</v>
      </c>
      <c r="G126" s="21" t="s">
        <v>141</v>
      </c>
      <c r="H126" s="15" t="n">
        <v>390</v>
      </c>
      <c r="I126" s="15" t="n">
        <v>12</v>
      </c>
      <c r="J126" s="15" t="n">
        <v>80</v>
      </c>
      <c r="K126" s="21" t="s">
        <v>142</v>
      </c>
      <c r="L126" s="15" t="n">
        <v>45</v>
      </c>
      <c r="M126" s="15" t="n">
        <v>8</v>
      </c>
      <c r="N126" s="15" t="n">
        <v>4</v>
      </c>
      <c r="O126" s="15" t="n">
        <v>17</v>
      </c>
      <c r="P126" s="15" t="n">
        <v>86</v>
      </c>
      <c r="Q126" s="15" t="n">
        <v>2</v>
      </c>
      <c r="R126" s="15" t="n">
        <v>8</v>
      </c>
      <c r="S126" s="19" t="n">
        <v>8.5</v>
      </c>
      <c r="T126" s="19" t="n">
        <v>4.6</v>
      </c>
      <c r="U126" s="23" t="s">
        <v>180</v>
      </c>
      <c r="V126" s="23" t="s">
        <v>160</v>
      </c>
      <c r="W126" s="23" t="s">
        <v>381</v>
      </c>
      <c r="X126" s="23"/>
      <c r="Y126" s="24" t="n">
        <f aca="false">IF(T126=0,0,N126/T126)</f>
        <v>0.869565217391304</v>
      </c>
      <c r="Z126" s="24" t="n">
        <f aca="false">IF(T126=0,0,P126/T126)</f>
        <v>18.695652173913</v>
      </c>
      <c r="AA126" s="24" t="n">
        <f aca="false">IF(T126=0,0,Q126/T126)</f>
        <v>0.434782608695652</v>
      </c>
      <c r="AB126" s="24" t="n">
        <f aca="false">IF(J126=0,0,H126/J126)</f>
        <v>4.875</v>
      </c>
      <c r="AC126" s="24" t="str">
        <f aca="false">IF(E126="MBT",H126-MBTTargetCost,"")</f>
        <v/>
      </c>
      <c r="AD126" s="24" t="n">
        <f aca="false">IF(H126=0,0,((J126/10)+(Y126*3)+(Z126*8)+(AA126*6)+(S126*0.4))/(H126/1000)*(1+VetDmgBonus*0.3))</f>
        <v>458.067447045708</v>
      </c>
    </row>
    <row r="127" customFormat="false" ht="15" hidden="false" customHeight="false" outlineLevel="0" collapsed="false">
      <c r="A127" s="16" t="s">
        <v>735</v>
      </c>
      <c r="B127" s="38" t="s">
        <v>728</v>
      </c>
      <c r="C127" s="16" t="s">
        <v>588</v>
      </c>
      <c r="D127" s="18" t="s">
        <v>163</v>
      </c>
      <c r="E127" s="16" t="s">
        <v>163</v>
      </c>
      <c r="F127" s="16" t="s">
        <v>164</v>
      </c>
      <c r="G127" s="16" t="s">
        <v>141</v>
      </c>
      <c r="H127" s="15" t="n">
        <v>500</v>
      </c>
      <c r="I127" s="15" t="n">
        <v>10</v>
      </c>
      <c r="J127" s="15" t="n">
        <v>80</v>
      </c>
      <c r="K127" s="16" t="s">
        <v>142</v>
      </c>
      <c r="L127" s="15" t="n">
        <v>50</v>
      </c>
      <c r="M127" s="15" t="n">
        <v>6</v>
      </c>
      <c r="N127" s="15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9" t="n">
        <v>2</v>
      </c>
      <c r="T127" s="19" t="n">
        <v>0</v>
      </c>
      <c r="U127" s="18" t="s">
        <v>165</v>
      </c>
      <c r="V127" s="18" t="s">
        <v>291</v>
      </c>
      <c r="W127" s="18" t="s">
        <v>292</v>
      </c>
      <c r="X127" s="18"/>
      <c r="Y127" s="20" t="n">
        <f aca="false">IF(T127=0,0,N127/T127)</f>
        <v>0</v>
      </c>
      <c r="Z127" s="20" t="n">
        <f aca="false">IF(T127=0,0,P127/T127)</f>
        <v>0</v>
      </c>
      <c r="AA127" s="20" t="n">
        <f aca="false">IF(T127=0,0,Q127/T127)</f>
        <v>0</v>
      </c>
      <c r="AB127" s="20" t="n">
        <f aca="false">IF(J127=0,0,H127/J127)</f>
        <v>6.25</v>
      </c>
      <c r="AC127" s="20" t="str">
        <f aca="false">IF(E127="MBT",H127-MBTTargetCost,"")</f>
        <v/>
      </c>
      <c r="AD127" s="20" t="n">
        <f aca="false">IF(H127=0,0,((J127/10)+(Y127*3)+(Z127*8)+(AA127*6)+(S127*0.4))/(H127/1000)*(1+VetDmgBonus*0.3))</f>
        <v>18.92</v>
      </c>
    </row>
    <row r="128" customFormat="false" ht="15" hidden="false" customHeight="false" outlineLevel="0" collapsed="false">
      <c r="A128" s="21" t="s">
        <v>736</v>
      </c>
      <c r="B128" s="37" t="s">
        <v>728</v>
      </c>
      <c r="C128" s="21" t="s">
        <v>588</v>
      </c>
      <c r="D128" s="23" t="s">
        <v>737</v>
      </c>
      <c r="E128" s="21" t="s">
        <v>221</v>
      </c>
      <c r="F128" s="21" t="s">
        <v>222</v>
      </c>
      <c r="G128" s="21" t="s">
        <v>141</v>
      </c>
      <c r="H128" s="15" t="n">
        <v>480</v>
      </c>
      <c r="I128" s="15" t="n">
        <v>10</v>
      </c>
      <c r="J128" s="15" t="n">
        <v>270</v>
      </c>
      <c r="K128" s="21" t="s">
        <v>223</v>
      </c>
      <c r="L128" s="15" t="n">
        <v>78</v>
      </c>
      <c r="M128" s="15" t="n">
        <v>7</v>
      </c>
      <c r="N128" s="15" t="n">
        <v>14</v>
      </c>
      <c r="O128" s="15" t="n">
        <v>8</v>
      </c>
      <c r="P128" s="15" t="n">
        <v>4</v>
      </c>
      <c r="Q128" s="15" t="n">
        <v>2</v>
      </c>
      <c r="R128" s="15" t="n">
        <v>6</v>
      </c>
      <c r="S128" s="19" t="n">
        <v>6</v>
      </c>
      <c r="T128" s="19" t="n">
        <v>1.1</v>
      </c>
      <c r="U128" s="23" t="s">
        <v>180</v>
      </c>
      <c r="V128" s="23" t="s">
        <v>225</v>
      </c>
      <c r="W128" s="23" t="s">
        <v>139</v>
      </c>
      <c r="X128" s="23"/>
      <c r="Y128" s="24" t="n">
        <f aca="false">IF(T128=0,0,N128/T128)</f>
        <v>12.7272727272727</v>
      </c>
      <c r="Z128" s="24" t="n">
        <f aca="false">IF(T128=0,0,P128/T128)</f>
        <v>3.63636363636364</v>
      </c>
      <c r="AA128" s="24" t="n">
        <f aca="false">IF(T128=0,0,Q128/T128)</f>
        <v>1.81818181818182</v>
      </c>
      <c r="AB128" s="24" t="n">
        <f aca="false">IF(J128=0,0,H128/J128)</f>
        <v>1.77777777777778</v>
      </c>
      <c r="AC128" s="24" t="str">
        <f aca="false">IF(E128="MBT",H128-MBTTargetCost,"")</f>
        <v/>
      </c>
      <c r="AD128" s="24" t="n">
        <f aca="false">IF(H128=0,0,((J128/10)+(Y128*3)+(Z128*8)+(AA128*6)+(S128*0.4))/(H128/1000)*(1+VetDmgBonus*0.3))</f>
        <v>240.938446969697</v>
      </c>
    </row>
    <row r="129" customFormat="false" ht="15" hidden="false" customHeight="false" outlineLevel="0" collapsed="false">
      <c r="A129" s="16" t="s">
        <v>738</v>
      </c>
      <c r="B129" s="38" t="s">
        <v>728</v>
      </c>
      <c r="C129" s="16" t="s">
        <v>588</v>
      </c>
      <c r="D129" s="18" t="s">
        <v>739</v>
      </c>
      <c r="E129" s="16" t="s">
        <v>177</v>
      </c>
      <c r="F129" s="16" t="s">
        <v>397</v>
      </c>
      <c r="G129" s="16" t="s">
        <v>141</v>
      </c>
      <c r="H129" s="15" t="n">
        <v>850</v>
      </c>
      <c r="I129" s="15" t="n">
        <v>12</v>
      </c>
      <c r="J129" s="15" t="n">
        <v>650</v>
      </c>
      <c r="K129" s="16" t="s">
        <v>179</v>
      </c>
      <c r="L129" s="15" t="n">
        <v>56</v>
      </c>
      <c r="M129" s="15" t="n">
        <v>7</v>
      </c>
      <c r="N129" s="15" t="n">
        <v>16</v>
      </c>
      <c r="O129" s="15" t="n">
        <v>24</v>
      </c>
      <c r="P129" s="15" t="n">
        <v>48</v>
      </c>
      <c r="Q129" s="15" t="n">
        <v>4</v>
      </c>
      <c r="R129" s="15" t="n">
        <v>12</v>
      </c>
      <c r="S129" s="19" t="n">
        <v>6.5</v>
      </c>
      <c r="T129" s="19" t="n">
        <v>2.4</v>
      </c>
      <c r="U129" s="18" t="s">
        <v>740</v>
      </c>
      <c r="V129" s="18" t="s">
        <v>398</v>
      </c>
      <c r="W129" s="18" t="s">
        <v>139</v>
      </c>
      <c r="X129" s="18"/>
      <c r="Y129" s="20" t="n">
        <f aca="false">IF(T129=0,0,N129/T129)</f>
        <v>6.66666666666667</v>
      </c>
      <c r="Z129" s="20" t="n">
        <f aca="false">IF(T129=0,0,P129/T129)</f>
        <v>20</v>
      </c>
      <c r="AA129" s="20" t="n">
        <f aca="false">IF(T129=0,0,Q129/T129)</f>
        <v>1.66666666666667</v>
      </c>
      <c r="AB129" s="20" t="n">
        <f aca="false">IF(J129=0,0,H129/J129)</f>
        <v>1.30769230769231</v>
      </c>
      <c r="AC129" s="20" t="str">
        <f aca="false">IF(E129="MBT",H129-MBTTargetCost,"")</f>
        <v/>
      </c>
      <c r="AD129" s="20" t="n">
        <f aca="false">IF(H129=0,0,((J129/10)+(Y129*3)+(Z129*8)+(AA129*6)+(S129*0.4))/(H129/1000)*(1+VetDmgBonus*0.3))</f>
        <v>325.788235294118</v>
      </c>
    </row>
    <row r="130" customFormat="false" ht="15" hidden="false" customHeight="false" outlineLevel="0" collapsed="false">
      <c r="A130" s="21" t="s">
        <v>741</v>
      </c>
      <c r="B130" s="37" t="s">
        <v>728</v>
      </c>
      <c r="C130" s="21" t="s">
        <v>588</v>
      </c>
      <c r="D130" s="23" t="s">
        <v>742</v>
      </c>
      <c r="E130" s="21" t="s">
        <v>185</v>
      </c>
      <c r="F130" s="21" t="s">
        <v>743</v>
      </c>
      <c r="G130" s="21" t="s">
        <v>141</v>
      </c>
      <c r="H130" s="15" t="n">
        <v>1300</v>
      </c>
      <c r="I130" s="15" t="n">
        <v>16</v>
      </c>
      <c r="J130" s="15" t="n">
        <v>980</v>
      </c>
      <c r="K130" s="21" t="s">
        <v>179</v>
      </c>
      <c r="L130" s="15" t="n">
        <v>72</v>
      </c>
      <c r="M130" s="15" t="n">
        <v>8</v>
      </c>
      <c r="N130" s="15" t="n">
        <v>18</v>
      </c>
      <c r="O130" s="15" t="n">
        <v>30</v>
      </c>
      <c r="P130" s="15" t="n">
        <v>70</v>
      </c>
      <c r="Q130" s="15" t="n">
        <v>6</v>
      </c>
      <c r="R130" s="15" t="n">
        <v>18</v>
      </c>
      <c r="S130" s="19" t="n">
        <v>7.5</v>
      </c>
      <c r="T130" s="19" t="n">
        <v>2</v>
      </c>
      <c r="U130" s="23" t="s">
        <v>117</v>
      </c>
      <c r="V130" s="23" t="s">
        <v>188</v>
      </c>
      <c r="W130" s="23" t="s">
        <v>468</v>
      </c>
      <c r="X130" s="23"/>
      <c r="Y130" s="24" t="n">
        <f aca="false">IF(T130=0,0,N130/T130)</f>
        <v>9</v>
      </c>
      <c r="Z130" s="24" t="n">
        <f aca="false">IF(T130=0,0,P130/T130)</f>
        <v>35</v>
      </c>
      <c r="AA130" s="24" t="n">
        <f aca="false">IF(T130=0,0,Q130/T130)</f>
        <v>3</v>
      </c>
      <c r="AB130" s="24" t="n">
        <f aca="false">IF(J130=0,0,H130/J130)</f>
        <v>1.3265306122449</v>
      </c>
      <c r="AC130" s="24" t="n">
        <f aca="false">IF(E130="MBT",H130-MBTTargetCost,"")</f>
        <v>-200</v>
      </c>
      <c r="AD130" s="24" t="n">
        <f aca="false">IF(H130=0,0,((J130/10)+(Y130*3)+(Z130*8)+(AA130*6)+(S130*0.4))/(H130/1000)*(1+VetDmgBonus*0.3))</f>
        <v>352.269230769231</v>
      </c>
    </row>
    <row r="131" customFormat="false" ht="15" hidden="false" customHeight="false" outlineLevel="0" collapsed="false">
      <c r="A131" s="16" t="s">
        <v>744</v>
      </c>
      <c r="B131" s="38" t="s">
        <v>728</v>
      </c>
      <c r="C131" s="16" t="s">
        <v>588</v>
      </c>
      <c r="D131" s="18" t="s">
        <v>745</v>
      </c>
      <c r="E131" s="16" t="s">
        <v>185</v>
      </c>
      <c r="F131" s="16" t="s">
        <v>186</v>
      </c>
      <c r="G131" s="16" t="s">
        <v>141</v>
      </c>
      <c r="H131" s="15" t="n">
        <v>1450</v>
      </c>
      <c r="I131" s="15" t="n">
        <v>18</v>
      </c>
      <c r="J131" s="15" t="n">
        <v>1080</v>
      </c>
      <c r="K131" s="16" t="s">
        <v>179</v>
      </c>
      <c r="L131" s="15" t="n">
        <v>68</v>
      </c>
      <c r="M131" s="15" t="n">
        <v>8</v>
      </c>
      <c r="N131" s="15" t="n">
        <v>20</v>
      </c>
      <c r="O131" s="15" t="n">
        <v>32</v>
      </c>
      <c r="P131" s="15" t="n">
        <v>76</v>
      </c>
      <c r="Q131" s="15" t="n">
        <v>6</v>
      </c>
      <c r="R131" s="15" t="n">
        <v>20</v>
      </c>
      <c r="S131" s="19" t="n">
        <v>8</v>
      </c>
      <c r="T131" s="19" t="n">
        <v>2</v>
      </c>
      <c r="U131" s="18" t="s">
        <v>180</v>
      </c>
      <c r="V131" s="18" t="s">
        <v>231</v>
      </c>
      <c r="W131" s="18" t="s">
        <v>529</v>
      </c>
      <c r="X131" s="18"/>
      <c r="Y131" s="20" t="n">
        <f aca="false">IF(T131=0,0,N131/T131)</f>
        <v>10</v>
      </c>
      <c r="Z131" s="20" t="n">
        <f aca="false">IF(T131=0,0,P131/T131)</f>
        <v>38</v>
      </c>
      <c r="AA131" s="20" t="n">
        <f aca="false">IF(T131=0,0,Q131/T131)</f>
        <v>3</v>
      </c>
      <c r="AB131" s="20" t="n">
        <f aca="false">IF(J131=0,0,H131/J131)</f>
        <v>1.34259259259259</v>
      </c>
      <c r="AC131" s="20" t="n">
        <f aca="false">IF(E131="MBT",H131-MBTTargetCost,"")</f>
        <v>-50</v>
      </c>
      <c r="AD131" s="20" t="n">
        <f aca="false">IF(H131=0,0,((J131/10)+(Y131*3)+(Z131*8)+(AA131*6)+(S131*0.4))/(H131/1000)*(1+VetDmgBonus*0.3))</f>
        <v>343.406896551724</v>
      </c>
    </row>
    <row r="132" customFormat="false" ht="15" hidden="false" customHeight="false" outlineLevel="0" collapsed="false">
      <c r="A132" s="21" t="s">
        <v>746</v>
      </c>
      <c r="B132" s="37" t="s">
        <v>728</v>
      </c>
      <c r="C132" s="21" t="s">
        <v>588</v>
      </c>
      <c r="D132" s="23" t="s">
        <v>747</v>
      </c>
      <c r="E132" s="21" t="s">
        <v>185</v>
      </c>
      <c r="F132" s="21" t="s">
        <v>249</v>
      </c>
      <c r="G132" s="21" t="s">
        <v>141</v>
      </c>
      <c r="H132" s="15" t="n">
        <v>1650</v>
      </c>
      <c r="I132" s="15" t="n">
        <v>22</v>
      </c>
      <c r="J132" s="15" t="n">
        <v>1200</v>
      </c>
      <c r="K132" s="21" t="s">
        <v>179</v>
      </c>
      <c r="L132" s="15" t="n">
        <v>66</v>
      </c>
      <c r="M132" s="15" t="n">
        <v>8</v>
      </c>
      <c r="N132" s="15" t="n">
        <v>22</v>
      </c>
      <c r="O132" s="15" t="n">
        <v>34</v>
      </c>
      <c r="P132" s="15" t="n">
        <v>84</v>
      </c>
      <c r="Q132" s="15" t="n">
        <v>6</v>
      </c>
      <c r="R132" s="15" t="n">
        <v>22</v>
      </c>
      <c r="S132" s="19" t="n">
        <v>8.5</v>
      </c>
      <c r="T132" s="19" t="n">
        <v>1.95</v>
      </c>
      <c r="U132" s="23" t="s">
        <v>582</v>
      </c>
      <c r="V132" s="23" t="s">
        <v>200</v>
      </c>
      <c r="W132" s="23" t="s">
        <v>529</v>
      </c>
      <c r="X132" s="23"/>
      <c r="Y132" s="24" t="n">
        <f aca="false">IF(T132=0,0,N132/T132)</f>
        <v>11.2820512820513</v>
      </c>
      <c r="Z132" s="24" t="n">
        <f aca="false">IF(T132=0,0,P132/T132)</f>
        <v>43.0769230769231</v>
      </c>
      <c r="AA132" s="24" t="n">
        <f aca="false">IF(T132=0,0,Q132/T132)</f>
        <v>3.07692307692308</v>
      </c>
      <c r="AB132" s="24" t="n">
        <f aca="false">IF(J132=0,0,H132/J132)</f>
        <v>1.375</v>
      </c>
      <c r="AC132" s="24" t="n">
        <f aca="false">IF(E132="MBT",H132-MBTTargetCost,"")</f>
        <v>150</v>
      </c>
      <c r="AD132" s="24" t="n">
        <f aca="false">IF(H132=0,0,((J132/10)+(Y132*3)+(Z132*8)+(AA132*6)+(S132*0.4))/(H132/1000)*(1+VetDmgBonus*0.3))</f>
        <v>338.998368298368</v>
      </c>
    </row>
    <row r="133" customFormat="false" ht="15" hidden="false" customHeight="false" outlineLevel="0" collapsed="false">
      <c r="A133" s="16" t="s">
        <v>748</v>
      </c>
      <c r="B133" s="38" t="s">
        <v>728</v>
      </c>
      <c r="C133" s="16" t="s">
        <v>588</v>
      </c>
      <c r="D133" s="18" t="s">
        <v>749</v>
      </c>
      <c r="E133" s="16" t="s">
        <v>192</v>
      </c>
      <c r="F133" s="16" t="s">
        <v>539</v>
      </c>
      <c r="G133" s="16" t="s">
        <v>141</v>
      </c>
      <c r="H133" s="15" t="n">
        <v>1200</v>
      </c>
      <c r="I133" s="15" t="n">
        <v>16</v>
      </c>
      <c r="J133" s="15" t="n">
        <v>420</v>
      </c>
      <c r="K133" s="16" t="s">
        <v>171</v>
      </c>
      <c r="L133" s="15" t="n">
        <v>58</v>
      </c>
      <c r="M133" s="15" t="n">
        <v>10</v>
      </c>
      <c r="N133" s="15" t="n">
        <v>34</v>
      </c>
      <c r="O133" s="15" t="n">
        <v>40</v>
      </c>
      <c r="P133" s="15" t="n">
        <v>46</v>
      </c>
      <c r="Q133" s="15" t="n">
        <v>8</v>
      </c>
      <c r="R133" s="15" t="n">
        <v>94</v>
      </c>
      <c r="S133" s="19" t="n">
        <v>14</v>
      </c>
      <c r="T133" s="19" t="n">
        <v>6</v>
      </c>
      <c r="U133" s="18" t="s">
        <v>180</v>
      </c>
      <c r="V133" s="18" t="s">
        <v>200</v>
      </c>
      <c r="W133" s="18" t="s">
        <v>218</v>
      </c>
      <c r="X133" s="18"/>
      <c r="Y133" s="20" t="n">
        <f aca="false">IF(T133=0,0,N133/T133)</f>
        <v>5.66666666666667</v>
      </c>
      <c r="Z133" s="20" t="n">
        <f aca="false">IF(T133=0,0,P133/T133)</f>
        <v>7.66666666666667</v>
      </c>
      <c r="AA133" s="20" t="n">
        <f aca="false">IF(T133=0,0,Q133/T133)</f>
        <v>1.33333333333333</v>
      </c>
      <c r="AB133" s="20" t="n">
        <f aca="false">IF(J133=0,0,H133/J133)</f>
        <v>2.85714285714286</v>
      </c>
      <c r="AC133" s="20" t="str">
        <f aca="false">IF(E133="MBT",H133-MBTTargetCost,"")</f>
        <v/>
      </c>
      <c r="AD133" s="20" t="n">
        <f aca="false">IF(H133=0,0,((J133/10)+(Y133*3)+(Z133*8)+(AA133*6)+(S133*0.4))/(H133/1000)*(1+VetDmgBonus*0.3))</f>
        <v>119.981944444444</v>
      </c>
    </row>
    <row r="134" customFormat="false" ht="15" hidden="false" customHeight="false" outlineLevel="0" collapsed="false">
      <c r="A134" s="21" t="s">
        <v>750</v>
      </c>
      <c r="B134" s="37" t="s">
        <v>728</v>
      </c>
      <c r="C134" s="21" t="s">
        <v>588</v>
      </c>
      <c r="D134" s="23" t="s">
        <v>751</v>
      </c>
      <c r="E134" s="21" t="s">
        <v>236</v>
      </c>
      <c r="F134" s="21" t="s">
        <v>543</v>
      </c>
      <c r="G134" s="21" t="s">
        <v>141</v>
      </c>
      <c r="H134" s="15" t="n">
        <v>1400</v>
      </c>
      <c r="I134" s="15" t="n">
        <v>16</v>
      </c>
      <c r="J134" s="15" t="n">
        <v>380</v>
      </c>
      <c r="K134" s="21" t="s">
        <v>171</v>
      </c>
      <c r="L134" s="15" t="n">
        <v>58</v>
      </c>
      <c r="M134" s="15" t="n">
        <v>10</v>
      </c>
      <c r="N134" s="15" t="n">
        <v>60</v>
      </c>
      <c r="O134" s="15" t="n">
        <v>48</v>
      </c>
      <c r="P134" s="15" t="n">
        <v>36</v>
      </c>
      <c r="Q134" s="15" t="n">
        <v>6</v>
      </c>
      <c r="R134" s="15" t="n">
        <v>76</v>
      </c>
      <c r="S134" s="19" t="n">
        <v>17</v>
      </c>
      <c r="T134" s="19" t="n">
        <v>8</v>
      </c>
      <c r="U134" s="23" t="s">
        <v>180</v>
      </c>
      <c r="V134" s="23" t="s">
        <v>200</v>
      </c>
      <c r="W134" s="23" t="s">
        <v>545</v>
      </c>
      <c r="X134" s="23"/>
      <c r="Y134" s="24" t="n">
        <f aca="false">IF(T134=0,0,N134/T134)</f>
        <v>7.5</v>
      </c>
      <c r="Z134" s="24" t="n">
        <f aca="false">IF(T134=0,0,P134/T134)</f>
        <v>4.5</v>
      </c>
      <c r="AA134" s="24" t="n">
        <f aca="false">IF(T134=0,0,Q134/T134)</f>
        <v>0.75</v>
      </c>
      <c r="AB134" s="24" t="n">
        <f aca="false">IF(J134=0,0,H134/J134)</f>
        <v>3.68421052631579</v>
      </c>
      <c r="AC134" s="24" t="str">
        <f aca="false">IF(E134="MBT",H134-MBTTargetCost,"")</f>
        <v/>
      </c>
      <c r="AD134" s="24" t="n">
        <f aca="false">IF(H134=0,0,((J134/10)+(Y134*3)+(Z134*8)+(AA134*6)+(S134*0.4))/(H134/1000)*(1+VetDmgBonus*0.3))</f>
        <v>82.775</v>
      </c>
    </row>
    <row r="135" customFormat="false" ht="15" hidden="false" customHeight="false" outlineLevel="0" collapsed="false">
      <c r="A135" s="16" t="s">
        <v>752</v>
      </c>
      <c r="B135" s="38" t="s">
        <v>728</v>
      </c>
      <c r="C135" s="16" t="s">
        <v>588</v>
      </c>
      <c r="D135" s="18" t="s">
        <v>753</v>
      </c>
      <c r="E135" s="16" t="s">
        <v>198</v>
      </c>
      <c r="F135" s="16" t="s">
        <v>555</v>
      </c>
      <c r="G135" s="16" t="s">
        <v>200</v>
      </c>
      <c r="H135" s="15" t="n">
        <v>1450</v>
      </c>
      <c r="I135" s="15" t="n">
        <v>18</v>
      </c>
      <c r="J135" s="15" t="n">
        <v>350</v>
      </c>
      <c r="K135" s="16" t="s">
        <v>200</v>
      </c>
      <c r="L135" s="15" t="n">
        <v>96</v>
      </c>
      <c r="M135" s="15" t="n">
        <v>10</v>
      </c>
      <c r="N135" s="15" t="n">
        <v>10</v>
      </c>
      <c r="O135" s="15" t="n">
        <v>18</v>
      </c>
      <c r="P135" s="15" t="n">
        <v>78</v>
      </c>
      <c r="Q135" s="15" t="n">
        <v>8</v>
      </c>
      <c r="R135" s="15" t="n">
        <v>8</v>
      </c>
      <c r="S135" s="19" t="n">
        <v>8</v>
      </c>
      <c r="T135" s="19" t="n">
        <v>3.1</v>
      </c>
      <c r="U135" s="18" t="s">
        <v>754</v>
      </c>
      <c r="V135" s="18" t="s">
        <v>245</v>
      </c>
      <c r="W135" s="18" t="s">
        <v>381</v>
      </c>
      <c r="X135" s="18"/>
      <c r="Y135" s="20" t="n">
        <f aca="false">IF(T135=0,0,N135/T135)</f>
        <v>3.2258064516129</v>
      </c>
      <c r="Z135" s="20" t="n">
        <f aca="false">IF(T135=0,0,P135/T135)</f>
        <v>25.1612903225806</v>
      </c>
      <c r="AA135" s="20" t="n">
        <f aca="false">IF(T135=0,0,Q135/T135)</f>
        <v>2.58064516129032</v>
      </c>
      <c r="AB135" s="20" t="n">
        <f aca="false">IF(J135=0,0,H135/J135)</f>
        <v>4.14285714285714</v>
      </c>
      <c r="AC135" s="20" t="str">
        <f aca="false">IF(E135="MBT",H135-MBTTargetCost,"")</f>
        <v/>
      </c>
      <c r="AD135" s="20" t="n">
        <f aca="false">IF(H135=0,0,((J135/10)+(Y135*3)+(Z135*8)+(AA135*6)+(S135*0.4))/(H135/1000)*(1+VetDmgBonus*0.3))</f>
        <v>196.20723025584</v>
      </c>
    </row>
    <row r="136" customFormat="false" ht="15" hidden="false" customHeight="false" outlineLevel="0" collapsed="false">
      <c r="A136" s="21" t="s">
        <v>755</v>
      </c>
      <c r="B136" s="37" t="s">
        <v>728</v>
      </c>
      <c r="C136" s="21" t="s">
        <v>588</v>
      </c>
      <c r="D136" s="23" t="s">
        <v>756</v>
      </c>
      <c r="E136" s="21" t="s">
        <v>206</v>
      </c>
      <c r="F136" s="21" t="s">
        <v>757</v>
      </c>
      <c r="G136" s="21" t="s">
        <v>200</v>
      </c>
      <c r="H136" s="15" t="n">
        <v>1350</v>
      </c>
      <c r="I136" s="15" t="n">
        <v>16</v>
      </c>
      <c r="J136" s="15" t="n">
        <v>290</v>
      </c>
      <c r="K136" s="21" t="s">
        <v>200</v>
      </c>
      <c r="L136" s="15" t="n">
        <v>134</v>
      </c>
      <c r="M136" s="15" t="n">
        <v>11</v>
      </c>
      <c r="N136" s="15" t="n">
        <v>8</v>
      </c>
      <c r="O136" s="15" t="n">
        <v>12</v>
      </c>
      <c r="P136" s="15" t="n">
        <v>34</v>
      </c>
      <c r="Q136" s="15" t="n">
        <v>48</v>
      </c>
      <c r="R136" s="15" t="n">
        <v>14</v>
      </c>
      <c r="S136" s="19" t="n">
        <v>11</v>
      </c>
      <c r="T136" s="19" t="n">
        <v>3.3</v>
      </c>
      <c r="U136" s="23" t="s">
        <v>758</v>
      </c>
      <c r="V136" s="23" t="s">
        <v>497</v>
      </c>
      <c r="W136" s="23" t="s">
        <v>759</v>
      </c>
      <c r="X136" s="23" t="s">
        <v>760</v>
      </c>
      <c r="Y136" s="24" t="n">
        <f aca="false">IF(T136=0,0,N136/T136)</f>
        <v>2.42424242424242</v>
      </c>
      <c r="Z136" s="24" t="n">
        <f aca="false">IF(T136=0,0,P136/T136)</f>
        <v>10.3030303030303</v>
      </c>
      <c r="AA136" s="24" t="n">
        <f aca="false">IF(T136=0,0,Q136/T136)</f>
        <v>14.5454545454545</v>
      </c>
      <c r="AB136" s="24" t="n">
        <f aca="false">IF(J136=0,0,H136/J136)</f>
        <v>4.6551724137931</v>
      </c>
      <c r="AC136" s="24" t="str">
        <f aca="false">IF(E136="MBT",H136-MBTTargetCost,"")</f>
        <v/>
      </c>
      <c r="AD136" s="24" t="n">
        <f aca="false">IF(H136=0,0,((J136/10)+(Y136*3)+(Z136*8)+(AA136*6)+(S136*0.4))/(H136/1000)*(1+VetDmgBonus*0.3))</f>
        <v>167.516610549944</v>
      </c>
    </row>
    <row r="137" customFormat="false" ht="15" hidden="false" customHeight="false" outlineLevel="0" collapsed="false">
      <c r="A137" s="16" t="s">
        <v>761</v>
      </c>
      <c r="B137" s="38" t="s">
        <v>728</v>
      </c>
      <c r="C137" s="16" t="s">
        <v>588</v>
      </c>
      <c r="D137" s="18" t="s">
        <v>762</v>
      </c>
      <c r="E137" s="16" t="s">
        <v>206</v>
      </c>
      <c r="F137" s="16" t="s">
        <v>763</v>
      </c>
      <c r="G137" s="16" t="s">
        <v>200</v>
      </c>
      <c r="H137" s="15" t="n">
        <v>1550</v>
      </c>
      <c r="I137" s="15" t="n">
        <v>18</v>
      </c>
      <c r="J137" s="15" t="n">
        <v>310</v>
      </c>
      <c r="K137" s="16" t="s">
        <v>200</v>
      </c>
      <c r="L137" s="15" t="n">
        <v>136</v>
      </c>
      <c r="M137" s="15" t="n">
        <v>12</v>
      </c>
      <c r="N137" s="15" t="n">
        <v>8</v>
      </c>
      <c r="O137" s="15" t="n">
        <v>14</v>
      </c>
      <c r="P137" s="15" t="n">
        <v>38</v>
      </c>
      <c r="Q137" s="15" t="n">
        <v>58</v>
      </c>
      <c r="R137" s="15" t="n">
        <v>16</v>
      </c>
      <c r="S137" s="19" t="n">
        <v>12</v>
      </c>
      <c r="T137" s="19" t="n">
        <v>3.2</v>
      </c>
      <c r="U137" s="18" t="s">
        <v>764</v>
      </c>
      <c r="V137" s="18" t="s">
        <v>765</v>
      </c>
      <c r="W137" s="18" t="s">
        <v>200</v>
      </c>
      <c r="X137" s="18"/>
      <c r="Y137" s="20" t="n">
        <f aca="false">IF(T137=0,0,N137/T137)</f>
        <v>2.5</v>
      </c>
      <c r="Z137" s="20" t="n">
        <f aca="false">IF(T137=0,0,P137/T137)</f>
        <v>11.875</v>
      </c>
      <c r="AA137" s="20" t="n">
        <f aca="false">IF(T137=0,0,Q137/T137)</f>
        <v>18.125</v>
      </c>
      <c r="AB137" s="20" t="n">
        <f aca="false">IF(J137=0,0,H137/J137)</f>
        <v>5</v>
      </c>
      <c r="AC137" s="20" t="str">
        <f aca="false">IF(E137="MBT",H137-MBTTargetCost,"")</f>
        <v/>
      </c>
      <c r="AD137" s="20" t="n">
        <f aca="false">IF(H137=0,0,((J137/10)+(Y137*3)+(Z137*8)+(AA137*6)+(S137*0.4))/(H137/1000)*(1+VetDmgBonus*0.3))</f>
        <v>171.341129032258</v>
      </c>
    </row>
    <row r="138" customFormat="false" ht="15" hidden="false" customHeight="false" outlineLevel="0" collapsed="false">
      <c r="A138" s="21" t="s">
        <v>766</v>
      </c>
      <c r="B138" s="37" t="s">
        <v>728</v>
      </c>
      <c r="C138" s="21" t="s">
        <v>588</v>
      </c>
      <c r="D138" s="23" t="s">
        <v>767</v>
      </c>
      <c r="E138" s="21" t="s">
        <v>206</v>
      </c>
      <c r="F138" s="21" t="s">
        <v>768</v>
      </c>
      <c r="G138" s="21" t="s">
        <v>200</v>
      </c>
      <c r="H138" s="15" t="n">
        <v>1700</v>
      </c>
      <c r="I138" s="15" t="n">
        <v>20</v>
      </c>
      <c r="J138" s="15" t="n">
        <v>320</v>
      </c>
      <c r="K138" s="21" t="s">
        <v>200</v>
      </c>
      <c r="L138" s="15" t="n">
        <v>134</v>
      </c>
      <c r="M138" s="15" t="n">
        <v>12</v>
      </c>
      <c r="N138" s="15" t="n">
        <v>8</v>
      </c>
      <c r="O138" s="15" t="n">
        <v>14</v>
      </c>
      <c r="P138" s="15" t="n">
        <v>42</v>
      </c>
      <c r="Q138" s="15" t="n">
        <v>56</v>
      </c>
      <c r="R138" s="15" t="n">
        <v>18</v>
      </c>
      <c r="S138" s="19" t="n">
        <v>12</v>
      </c>
      <c r="T138" s="19" t="n">
        <v>3.3</v>
      </c>
      <c r="U138" s="23" t="s">
        <v>180</v>
      </c>
      <c r="V138" s="23" t="s">
        <v>769</v>
      </c>
      <c r="W138" s="23" t="s">
        <v>492</v>
      </c>
      <c r="X138" s="23"/>
      <c r="Y138" s="24" t="n">
        <f aca="false">IF(T138=0,0,N138/T138)</f>
        <v>2.42424242424242</v>
      </c>
      <c r="Z138" s="24" t="n">
        <f aca="false">IF(T138=0,0,P138/T138)</f>
        <v>12.7272727272727</v>
      </c>
      <c r="AA138" s="24" t="n">
        <f aca="false">IF(T138=0,0,Q138/T138)</f>
        <v>16.969696969697</v>
      </c>
      <c r="AB138" s="24" t="n">
        <f aca="false">IF(J138=0,0,H138/J138)</f>
        <v>5.3125</v>
      </c>
      <c r="AC138" s="24" t="str">
        <f aca="false">IF(E138="MBT",H138-MBTTargetCost,"")</f>
        <v/>
      </c>
      <c r="AD138" s="24" t="n">
        <f aca="false">IF(H138=0,0,((J138/10)+(Y138*3)+(Z138*8)+(AA138*6)+(S138*0.4))/(H138/1000)*(1+VetDmgBonus*0.3))</f>
        <v>156.639572192513</v>
      </c>
    </row>
    <row r="139" customFormat="false" ht="15" hidden="false" customHeight="false" outlineLevel="0" collapsed="false">
      <c r="A139" s="16" t="s">
        <v>770</v>
      </c>
      <c r="B139" s="38" t="s">
        <v>728</v>
      </c>
      <c r="C139" s="16" t="s">
        <v>588</v>
      </c>
      <c r="D139" s="18" t="s">
        <v>771</v>
      </c>
      <c r="E139" s="16" t="s">
        <v>206</v>
      </c>
      <c r="F139" s="16" t="s">
        <v>772</v>
      </c>
      <c r="G139" s="16" t="s">
        <v>200</v>
      </c>
      <c r="H139" s="15" t="n">
        <v>1900</v>
      </c>
      <c r="I139" s="15" t="n">
        <v>22</v>
      </c>
      <c r="J139" s="15" t="n">
        <v>340</v>
      </c>
      <c r="K139" s="16" t="s">
        <v>200</v>
      </c>
      <c r="L139" s="15" t="n">
        <v>148</v>
      </c>
      <c r="M139" s="15" t="n">
        <v>12</v>
      </c>
      <c r="N139" s="15" t="n">
        <v>8</v>
      </c>
      <c r="O139" s="15" t="n">
        <v>14</v>
      </c>
      <c r="P139" s="15" t="n">
        <v>40</v>
      </c>
      <c r="Q139" s="15" t="n">
        <v>62</v>
      </c>
      <c r="R139" s="15" t="n">
        <v>16</v>
      </c>
      <c r="S139" s="19" t="n">
        <v>12</v>
      </c>
      <c r="T139" s="19" t="n">
        <v>2.9</v>
      </c>
      <c r="U139" s="18" t="s">
        <v>773</v>
      </c>
      <c r="V139" s="18" t="s">
        <v>769</v>
      </c>
      <c r="W139" s="18" t="s">
        <v>434</v>
      </c>
      <c r="X139" s="18" t="s">
        <v>774</v>
      </c>
      <c r="Y139" s="20" t="n">
        <f aca="false">IF(T139=0,0,N139/T139)</f>
        <v>2.75862068965517</v>
      </c>
      <c r="Z139" s="20" t="n">
        <f aca="false">IF(T139=0,0,P139/T139)</f>
        <v>13.7931034482759</v>
      </c>
      <c r="AA139" s="20" t="n">
        <f aca="false">IF(T139=0,0,Q139/T139)</f>
        <v>21.3793103448276</v>
      </c>
      <c r="AB139" s="20" t="n">
        <f aca="false">IF(J139=0,0,H139/J139)</f>
        <v>5.58823529411765</v>
      </c>
      <c r="AC139" s="20" t="str">
        <f aca="false">IF(E139="MBT",H139-MBTTargetCost,"")</f>
        <v/>
      </c>
      <c r="AD139" s="20" t="n">
        <f aca="false">IF(H139=0,0,((J139/10)+(Y139*3)+(Z139*8)+(AA139*6)+(S139*0.4))/(H139/1000)*(1+VetDmgBonus*0.3))</f>
        <v>161.644101633394</v>
      </c>
    </row>
    <row r="140" customFormat="false" ht="15" hidden="false" customHeight="false" outlineLevel="0" collapsed="false">
      <c r="A140" s="21" t="s">
        <v>775</v>
      </c>
      <c r="B140" s="37" t="s">
        <v>728</v>
      </c>
      <c r="C140" s="21" t="s">
        <v>588</v>
      </c>
      <c r="D140" s="23" t="s">
        <v>776</v>
      </c>
      <c r="E140" s="21" t="s">
        <v>357</v>
      </c>
      <c r="F140" s="21" t="s">
        <v>437</v>
      </c>
      <c r="G140" s="21" t="s">
        <v>200</v>
      </c>
      <c r="H140" s="15" t="n">
        <v>1200</v>
      </c>
      <c r="I140" s="15" t="n">
        <v>16</v>
      </c>
      <c r="J140" s="15" t="n">
        <v>270</v>
      </c>
      <c r="K140" s="21" t="s">
        <v>200</v>
      </c>
      <c r="L140" s="15" t="n">
        <v>118</v>
      </c>
      <c r="M140" s="15" t="n">
        <v>10</v>
      </c>
      <c r="N140" s="15" t="n">
        <v>12</v>
      </c>
      <c r="O140" s="15" t="n">
        <v>18</v>
      </c>
      <c r="P140" s="15" t="n">
        <v>36</v>
      </c>
      <c r="Q140" s="15" t="n">
        <v>12</v>
      </c>
      <c r="R140" s="15" t="n">
        <v>28</v>
      </c>
      <c r="S140" s="19" t="n">
        <v>10</v>
      </c>
      <c r="T140" s="19" t="n">
        <v>4</v>
      </c>
      <c r="U140" s="23" t="s">
        <v>777</v>
      </c>
      <c r="V140" s="23" t="s">
        <v>206</v>
      </c>
      <c r="W140" s="23" t="s">
        <v>218</v>
      </c>
      <c r="X140" s="23" t="s">
        <v>778</v>
      </c>
      <c r="Y140" s="24" t="n">
        <f aca="false">IF(T140=0,0,N140/T140)</f>
        <v>3</v>
      </c>
      <c r="Z140" s="24" t="n">
        <f aca="false">IF(T140=0,0,P140/T140)</f>
        <v>9</v>
      </c>
      <c r="AA140" s="24" t="n">
        <f aca="false">IF(T140=0,0,Q140/T140)</f>
        <v>3</v>
      </c>
      <c r="AB140" s="24" t="n">
        <f aca="false">IF(J140=0,0,H140/J140)</f>
        <v>4.44444444444445</v>
      </c>
      <c r="AC140" s="24" t="str">
        <f aca="false">IF(E140="MBT",H140-MBTTargetCost,"")</f>
        <v/>
      </c>
      <c r="AD140" s="24" t="n">
        <f aca="false">IF(H140=0,0,((J140/10)+(Y140*3)+(Z140*8)+(AA140*6)+(S140*0.4))/(H140/1000)*(1+VetDmgBonus*0.3))</f>
        <v>116.458333333333</v>
      </c>
    </row>
    <row r="141" customFormat="false" ht="15" hidden="false" customHeight="false" outlineLevel="0" collapsed="false">
      <c r="A141" s="16" t="s">
        <v>779</v>
      </c>
      <c r="B141" s="38" t="s">
        <v>728</v>
      </c>
      <c r="C141" s="16" t="s">
        <v>588</v>
      </c>
      <c r="D141" s="18" t="s">
        <v>780</v>
      </c>
      <c r="E141" s="16" t="s">
        <v>711</v>
      </c>
      <c r="F141" s="16" t="s">
        <v>781</v>
      </c>
      <c r="G141" s="16" t="s">
        <v>141</v>
      </c>
      <c r="H141" s="15" t="n">
        <v>1500</v>
      </c>
      <c r="I141" s="15" t="n">
        <v>20</v>
      </c>
      <c r="J141" s="15" t="n">
        <v>300</v>
      </c>
      <c r="K141" s="16" t="s">
        <v>223</v>
      </c>
      <c r="L141" s="15" t="n">
        <v>55</v>
      </c>
      <c r="M141" s="15" t="n">
        <v>8</v>
      </c>
      <c r="N141" s="15" t="n">
        <v>16</v>
      </c>
      <c r="O141" s="15" t="n">
        <v>32</v>
      </c>
      <c r="P141" s="15" t="n">
        <v>60</v>
      </c>
      <c r="Q141" s="15" t="n">
        <v>16</v>
      </c>
      <c r="R141" s="15" t="n">
        <v>70</v>
      </c>
      <c r="S141" s="19" t="n">
        <v>24</v>
      </c>
      <c r="T141" s="19" t="n">
        <v>14</v>
      </c>
      <c r="U141" s="18" t="s">
        <v>782</v>
      </c>
      <c r="V141" s="18" t="s">
        <v>714</v>
      </c>
      <c r="W141" s="18" t="s">
        <v>342</v>
      </c>
      <c r="X141" s="18" t="s">
        <v>333</v>
      </c>
      <c r="Y141" s="20" t="n">
        <f aca="false">IF(T141=0,0,N141/T141)</f>
        <v>1.14285714285714</v>
      </c>
      <c r="Z141" s="20" t="n">
        <f aca="false">IF(T141=0,0,P141/T141)</f>
        <v>4.28571428571429</v>
      </c>
      <c r="AA141" s="20" t="n">
        <f aca="false">IF(T141=0,0,Q141/T141)</f>
        <v>1.14285714285714</v>
      </c>
      <c r="AB141" s="20" t="n">
        <f aca="false">IF(J141=0,0,H141/J141)</f>
        <v>5</v>
      </c>
      <c r="AC141" s="20" t="str">
        <f aca="false">IF(E141="MBT",H141-MBTTargetCost,"")</f>
        <v/>
      </c>
      <c r="AD141" s="20" t="n">
        <f aca="false">IF(H141=0,0,((J141/10)+(Y141*3)+(Z141*8)+(AA141*6)+(S141*0.4))/(H141/1000)*(1+VetDmgBonus*0.3))</f>
        <v>60.3228571428571</v>
      </c>
    </row>
    <row r="142" customFormat="false" ht="15" hidden="false" customHeight="false" outlineLevel="0" collapsed="false">
      <c r="A142" s="21" t="s">
        <v>783</v>
      </c>
      <c r="B142" s="37" t="s">
        <v>728</v>
      </c>
      <c r="C142" s="21" t="s">
        <v>588</v>
      </c>
      <c r="D142" s="23" t="s">
        <v>784</v>
      </c>
      <c r="E142" s="21" t="s">
        <v>261</v>
      </c>
      <c r="F142" s="21" t="s">
        <v>785</v>
      </c>
      <c r="G142" s="21" t="s">
        <v>263</v>
      </c>
      <c r="H142" s="15" t="n">
        <v>2500</v>
      </c>
      <c r="I142" s="15" t="n">
        <v>32</v>
      </c>
      <c r="J142" s="15" t="n">
        <v>800</v>
      </c>
      <c r="K142" s="21" t="s">
        <v>261</v>
      </c>
      <c r="L142" s="15" t="n">
        <v>36</v>
      </c>
      <c r="M142" s="15" t="n">
        <v>8</v>
      </c>
      <c r="N142" s="15" t="n">
        <v>0</v>
      </c>
      <c r="O142" s="15" t="n">
        <v>0</v>
      </c>
      <c r="P142" s="15" t="n">
        <v>0</v>
      </c>
      <c r="Q142" s="15" t="n">
        <v>0</v>
      </c>
      <c r="R142" s="15" t="n">
        <v>0</v>
      </c>
      <c r="S142" s="19" t="n">
        <v>9</v>
      </c>
      <c r="T142" s="19" t="n">
        <v>9</v>
      </c>
      <c r="U142" s="23" t="s">
        <v>786</v>
      </c>
      <c r="V142" s="23" t="s">
        <v>365</v>
      </c>
      <c r="W142" s="23" t="s">
        <v>366</v>
      </c>
      <c r="X142" s="23" t="s">
        <v>787</v>
      </c>
      <c r="Y142" s="24" t="n">
        <f aca="false">IF(T142=0,0,N142/T142)</f>
        <v>0</v>
      </c>
      <c r="Z142" s="24" t="n">
        <f aca="false">IF(T142=0,0,P142/T142)</f>
        <v>0</v>
      </c>
      <c r="AA142" s="24" t="n">
        <f aca="false">IF(T142=0,0,Q142/T142)</f>
        <v>0</v>
      </c>
      <c r="AB142" s="24" t="n">
        <f aca="false">IF(J142=0,0,H142/J142)</f>
        <v>3.125</v>
      </c>
      <c r="AC142" s="24" t="str">
        <f aca="false">IF(E142="MBT",H142-MBTTargetCost,"")</f>
        <v/>
      </c>
      <c r="AD142" s="24" t="n">
        <f aca="false">IF(H142=0,0,((J142/10)+(Y142*3)+(Z142*8)+(AA142*6)+(S142*0.4))/(H142/1000)*(1+VetDmgBonus*0.3))</f>
        <v>35.948</v>
      </c>
    </row>
    <row r="143" customFormat="false" ht="15" hidden="false" customHeight="false" outlineLevel="0" collapsed="false">
      <c r="A143" s="16" t="s">
        <v>788</v>
      </c>
      <c r="B143" s="39" t="s">
        <v>789</v>
      </c>
      <c r="C143" s="16" t="s">
        <v>511</v>
      </c>
      <c r="D143" s="18" t="s">
        <v>790</v>
      </c>
      <c r="E143" s="16" t="s">
        <v>139</v>
      </c>
      <c r="F143" s="16" t="s">
        <v>791</v>
      </c>
      <c r="G143" s="16" t="s">
        <v>141</v>
      </c>
      <c r="H143" s="15" t="n">
        <v>130</v>
      </c>
      <c r="I143" s="15" t="n">
        <v>7</v>
      </c>
      <c r="J143" s="15" t="n">
        <v>115</v>
      </c>
      <c r="K143" s="16" t="s">
        <v>142</v>
      </c>
      <c r="L143" s="15" t="n">
        <v>52</v>
      </c>
      <c r="M143" s="15" t="n">
        <v>7</v>
      </c>
      <c r="N143" s="15" t="n">
        <v>11</v>
      </c>
      <c r="O143" s="15" t="n">
        <v>6</v>
      </c>
      <c r="P143" s="15" t="n">
        <v>2</v>
      </c>
      <c r="Q143" s="15" t="n">
        <v>1</v>
      </c>
      <c r="R143" s="15" t="n">
        <v>4</v>
      </c>
      <c r="S143" s="19" t="n">
        <v>5.5</v>
      </c>
      <c r="T143" s="19" t="n">
        <v>1.05</v>
      </c>
      <c r="U143" s="18" t="s">
        <v>792</v>
      </c>
      <c r="V143" s="18" t="s">
        <v>284</v>
      </c>
      <c r="W143" s="18" t="s">
        <v>372</v>
      </c>
      <c r="X143" s="18" t="s">
        <v>793</v>
      </c>
      <c r="Y143" s="20" t="n">
        <f aca="false">IF(T143=0,0,N143/T143)</f>
        <v>10.4761904761905</v>
      </c>
      <c r="Z143" s="20" t="n">
        <f aca="false">IF(T143=0,0,P143/T143)</f>
        <v>1.9047619047619</v>
      </c>
      <c r="AA143" s="20" t="n">
        <f aca="false">IF(T143=0,0,Q143/T143)</f>
        <v>0.952380952380952</v>
      </c>
      <c r="AB143" s="20" t="n">
        <f aca="false">IF(J143=0,0,H143/J143)</f>
        <v>1.1304347826087</v>
      </c>
      <c r="AC143" s="20" t="str">
        <f aca="false">IF(E143="MBT",H143-MBTTargetCost,"")</f>
        <v/>
      </c>
      <c r="AD143" s="20" t="n">
        <f aca="false">IF(H143=0,0,((J143/10)+(Y143*3)+(Z143*8)+(AA143*6)+(S143*0.4))/(H143/1000)*(1+VetDmgBonus*0.3))</f>
        <v>546.438644688645</v>
      </c>
    </row>
    <row r="144" customFormat="false" ht="15" hidden="false" customHeight="false" outlineLevel="0" collapsed="false">
      <c r="A144" s="21" t="s">
        <v>794</v>
      </c>
      <c r="B144" s="40" t="s">
        <v>789</v>
      </c>
      <c r="C144" s="21" t="s">
        <v>511</v>
      </c>
      <c r="D144" s="23" t="s">
        <v>795</v>
      </c>
      <c r="E144" s="21" t="s">
        <v>214</v>
      </c>
      <c r="F144" s="21" t="s">
        <v>215</v>
      </c>
      <c r="G144" s="21" t="s">
        <v>141</v>
      </c>
      <c r="H144" s="15" t="n">
        <v>680</v>
      </c>
      <c r="I144" s="15" t="n">
        <v>16</v>
      </c>
      <c r="J144" s="15" t="n">
        <v>135</v>
      </c>
      <c r="K144" s="21" t="s">
        <v>142</v>
      </c>
      <c r="L144" s="15" t="n">
        <v>64</v>
      </c>
      <c r="M144" s="15" t="n">
        <v>8</v>
      </c>
      <c r="N144" s="15" t="n">
        <v>16</v>
      </c>
      <c r="O144" s="15" t="n">
        <v>14</v>
      </c>
      <c r="P144" s="15" t="n">
        <v>24</v>
      </c>
      <c r="Q144" s="15" t="n">
        <v>4</v>
      </c>
      <c r="R144" s="15" t="n">
        <v>9</v>
      </c>
      <c r="S144" s="19" t="n">
        <v>5</v>
      </c>
      <c r="T144" s="19" t="n">
        <v>1.5</v>
      </c>
      <c r="U144" s="23" t="s">
        <v>275</v>
      </c>
      <c r="V144" s="23" t="s">
        <v>517</v>
      </c>
      <c r="W144" s="23" t="s">
        <v>595</v>
      </c>
      <c r="X144" s="23"/>
      <c r="Y144" s="24" t="n">
        <f aca="false">IF(T144=0,0,N144/T144)</f>
        <v>10.6666666666667</v>
      </c>
      <c r="Z144" s="24" t="n">
        <f aca="false">IF(T144=0,0,P144/T144)</f>
        <v>16</v>
      </c>
      <c r="AA144" s="24" t="n">
        <f aca="false">IF(T144=0,0,Q144/T144)</f>
        <v>2.66666666666667</v>
      </c>
      <c r="AB144" s="24" t="n">
        <f aca="false">IF(J144=0,0,H144/J144)</f>
        <v>5.03703703703704</v>
      </c>
      <c r="AC144" s="24" t="str">
        <f aca="false">IF(E144="MBT",H144-MBTTargetCost,"")</f>
        <v/>
      </c>
      <c r="AD144" s="24" t="n">
        <f aca="false">IF(H144=0,0,((J144/10)+(Y144*3)+(Z144*8)+(AA144*6)+(S144*0.4))/(H144/1000)*(1+VetDmgBonus*0.3))</f>
        <v>302.738970588235</v>
      </c>
    </row>
    <row r="145" customFormat="false" ht="15" hidden="false" customHeight="false" outlineLevel="0" collapsed="false">
      <c r="A145" s="16" t="s">
        <v>796</v>
      </c>
      <c r="B145" s="39" t="s">
        <v>789</v>
      </c>
      <c r="C145" s="16" t="s">
        <v>511</v>
      </c>
      <c r="D145" s="18" t="s">
        <v>797</v>
      </c>
      <c r="E145" s="16" t="s">
        <v>149</v>
      </c>
      <c r="F145" s="16" t="s">
        <v>798</v>
      </c>
      <c r="G145" s="16" t="s">
        <v>141</v>
      </c>
      <c r="H145" s="15" t="n">
        <v>370</v>
      </c>
      <c r="I145" s="15" t="n">
        <v>12</v>
      </c>
      <c r="J145" s="15" t="n">
        <v>80</v>
      </c>
      <c r="K145" s="16" t="s">
        <v>142</v>
      </c>
      <c r="L145" s="15" t="n">
        <v>45</v>
      </c>
      <c r="M145" s="15" t="n">
        <v>8</v>
      </c>
      <c r="N145" s="15" t="n">
        <v>4</v>
      </c>
      <c r="O145" s="15" t="n">
        <v>16</v>
      </c>
      <c r="P145" s="15" t="n">
        <v>82</v>
      </c>
      <c r="Q145" s="15" t="n">
        <v>2</v>
      </c>
      <c r="R145" s="15" t="n">
        <v>8</v>
      </c>
      <c r="S145" s="19" t="n">
        <v>8.5</v>
      </c>
      <c r="T145" s="19" t="n">
        <v>4.6</v>
      </c>
      <c r="U145" s="18" t="s">
        <v>799</v>
      </c>
      <c r="V145" s="18" t="s">
        <v>160</v>
      </c>
      <c r="W145" s="18" t="s">
        <v>381</v>
      </c>
      <c r="X145" s="18"/>
      <c r="Y145" s="20" t="n">
        <f aca="false">IF(T145=0,0,N145/T145)</f>
        <v>0.869565217391304</v>
      </c>
      <c r="Z145" s="20" t="n">
        <f aca="false">IF(T145=0,0,P145/T145)</f>
        <v>17.8260869565217</v>
      </c>
      <c r="AA145" s="20" t="n">
        <f aca="false">IF(T145=0,0,Q145/T145)</f>
        <v>0.434782608695652</v>
      </c>
      <c r="AB145" s="20" t="n">
        <f aca="false">IF(J145=0,0,H145/J145)</f>
        <v>4.625</v>
      </c>
      <c r="AC145" s="20" t="str">
        <f aca="false">IF(E145="MBT",H145-MBTTargetCost,"")</f>
        <v/>
      </c>
      <c r="AD145" s="20" t="n">
        <f aca="false">IF(H145=0,0,((J145/10)+(Y145*3)+(Z145*8)+(AA145*6)+(S145*0.4))/(H145/1000)*(1+VetDmgBonus*0.3))</f>
        <v>462.616333725029</v>
      </c>
    </row>
    <row r="146" customFormat="false" ht="15" hidden="false" customHeight="false" outlineLevel="0" collapsed="false">
      <c r="A146" s="21" t="s">
        <v>800</v>
      </c>
      <c r="B146" s="40" t="s">
        <v>789</v>
      </c>
      <c r="C146" s="21" t="s">
        <v>511</v>
      </c>
      <c r="D146" s="23" t="s">
        <v>163</v>
      </c>
      <c r="E146" s="21" t="s">
        <v>163</v>
      </c>
      <c r="F146" s="21" t="s">
        <v>164</v>
      </c>
      <c r="G146" s="21" t="s">
        <v>141</v>
      </c>
      <c r="H146" s="15" t="n">
        <v>500</v>
      </c>
      <c r="I146" s="15" t="n">
        <v>10</v>
      </c>
      <c r="J146" s="15" t="n">
        <v>80</v>
      </c>
      <c r="K146" s="21" t="s">
        <v>142</v>
      </c>
      <c r="L146" s="15" t="n">
        <v>50</v>
      </c>
      <c r="M146" s="15" t="n">
        <v>6</v>
      </c>
      <c r="N146" s="15" t="n">
        <v>0</v>
      </c>
      <c r="O146" s="15" t="n">
        <v>0</v>
      </c>
      <c r="P146" s="15" t="n">
        <v>0</v>
      </c>
      <c r="Q146" s="15" t="n">
        <v>0</v>
      </c>
      <c r="R146" s="15" t="n">
        <v>0</v>
      </c>
      <c r="S146" s="19" t="n">
        <v>2</v>
      </c>
      <c r="T146" s="19" t="n">
        <v>0</v>
      </c>
      <c r="U146" s="23" t="s">
        <v>165</v>
      </c>
      <c r="V146" s="23" t="s">
        <v>291</v>
      </c>
      <c r="W146" s="23" t="s">
        <v>292</v>
      </c>
      <c r="X146" s="23"/>
      <c r="Y146" s="24" t="n">
        <f aca="false">IF(T146=0,0,N146/T146)</f>
        <v>0</v>
      </c>
      <c r="Z146" s="24" t="n">
        <f aca="false">IF(T146=0,0,P146/T146)</f>
        <v>0</v>
      </c>
      <c r="AA146" s="24" t="n">
        <f aca="false">IF(T146=0,0,Q146/T146)</f>
        <v>0</v>
      </c>
      <c r="AB146" s="24" t="n">
        <f aca="false">IF(J146=0,0,H146/J146)</f>
        <v>6.25</v>
      </c>
      <c r="AC146" s="24" t="str">
        <f aca="false">IF(E146="MBT",H146-MBTTargetCost,"")</f>
        <v/>
      </c>
      <c r="AD146" s="24" t="n">
        <f aca="false">IF(H146=0,0,((J146/10)+(Y146*3)+(Z146*8)+(AA146*6)+(S146*0.4))/(H146/1000)*(1+VetDmgBonus*0.3))</f>
        <v>18.92</v>
      </c>
    </row>
    <row r="147" customFormat="false" ht="15" hidden="false" customHeight="false" outlineLevel="0" collapsed="false">
      <c r="A147" s="16" t="s">
        <v>801</v>
      </c>
      <c r="B147" s="39" t="s">
        <v>789</v>
      </c>
      <c r="C147" s="16" t="s">
        <v>511</v>
      </c>
      <c r="D147" s="18" t="s">
        <v>802</v>
      </c>
      <c r="E147" s="16" t="s">
        <v>221</v>
      </c>
      <c r="F147" s="16" t="s">
        <v>803</v>
      </c>
      <c r="G147" s="16" t="s">
        <v>141</v>
      </c>
      <c r="H147" s="15" t="n">
        <v>450</v>
      </c>
      <c r="I147" s="15" t="n">
        <v>10</v>
      </c>
      <c r="J147" s="15" t="n">
        <v>250</v>
      </c>
      <c r="K147" s="16" t="s">
        <v>223</v>
      </c>
      <c r="L147" s="15" t="n">
        <v>70</v>
      </c>
      <c r="M147" s="15" t="n">
        <v>7</v>
      </c>
      <c r="N147" s="15" t="n">
        <v>12</v>
      </c>
      <c r="O147" s="15" t="n">
        <v>7</v>
      </c>
      <c r="P147" s="15" t="n">
        <v>3</v>
      </c>
      <c r="Q147" s="15" t="n">
        <v>2</v>
      </c>
      <c r="R147" s="15" t="n">
        <v>5</v>
      </c>
      <c r="S147" s="19" t="n">
        <v>5.5</v>
      </c>
      <c r="T147" s="19" t="n">
        <v>1.2</v>
      </c>
      <c r="U147" s="18" t="s">
        <v>180</v>
      </c>
      <c r="V147" s="18" t="s">
        <v>225</v>
      </c>
      <c r="W147" s="18" t="s">
        <v>139</v>
      </c>
      <c r="X147" s="18"/>
      <c r="Y147" s="20" t="n">
        <f aca="false">IF(T147=0,0,N147/T147)</f>
        <v>10</v>
      </c>
      <c r="Z147" s="20" t="n">
        <f aca="false">IF(T147=0,0,P147/T147)</f>
        <v>2.5</v>
      </c>
      <c r="AA147" s="20" t="n">
        <f aca="false">IF(T147=0,0,Q147/T147)</f>
        <v>1.66666666666667</v>
      </c>
      <c r="AB147" s="20" t="n">
        <f aca="false">IF(J147=0,0,H147/J147)</f>
        <v>1.8</v>
      </c>
      <c r="AC147" s="20" t="str">
        <f aca="false">IF(E147="MBT",H147-MBTTargetCost,"")</f>
        <v/>
      </c>
      <c r="AD147" s="20" t="n">
        <f aca="false">IF(H147=0,0,((J147/10)+(Y147*3)+(Z147*8)+(AA147*6)+(S147*0.4))/(H147/1000)*(1+VetDmgBonus*0.3))</f>
        <v>208.311111111111</v>
      </c>
    </row>
    <row r="148" customFormat="false" ht="15" hidden="false" customHeight="false" outlineLevel="0" collapsed="false">
      <c r="A148" s="21" t="s">
        <v>804</v>
      </c>
      <c r="B148" s="40" t="s">
        <v>789</v>
      </c>
      <c r="C148" s="21" t="s">
        <v>511</v>
      </c>
      <c r="D148" s="23" t="s">
        <v>805</v>
      </c>
      <c r="E148" s="21" t="s">
        <v>177</v>
      </c>
      <c r="F148" s="21" t="s">
        <v>806</v>
      </c>
      <c r="G148" s="21" t="s">
        <v>141</v>
      </c>
      <c r="H148" s="15" t="n">
        <v>880</v>
      </c>
      <c r="I148" s="15" t="n">
        <v>12</v>
      </c>
      <c r="J148" s="15" t="n">
        <v>680</v>
      </c>
      <c r="K148" s="21" t="s">
        <v>179</v>
      </c>
      <c r="L148" s="15" t="n">
        <v>56</v>
      </c>
      <c r="M148" s="15" t="n">
        <v>7</v>
      </c>
      <c r="N148" s="15" t="n">
        <v>16</v>
      </c>
      <c r="O148" s="15" t="n">
        <v>26</v>
      </c>
      <c r="P148" s="15" t="n">
        <v>50</v>
      </c>
      <c r="Q148" s="15" t="n">
        <v>4</v>
      </c>
      <c r="R148" s="15" t="n">
        <v>14</v>
      </c>
      <c r="S148" s="19" t="n">
        <v>7</v>
      </c>
      <c r="T148" s="19" t="n">
        <v>2.3</v>
      </c>
      <c r="U148" s="23" t="s">
        <v>180</v>
      </c>
      <c r="V148" s="23" t="s">
        <v>398</v>
      </c>
      <c r="W148" s="23" t="s">
        <v>139</v>
      </c>
      <c r="X148" s="23"/>
      <c r="Y148" s="24" t="n">
        <f aca="false">IF(T148=0,0,N148/T148)</f>
        <v>6.95652173913044</v>
      </c>
      <c r="Z148" s="24" t="n">
        <f aca="false">IF(T148=0,0,P148/T148)</f>
        <v>21.7391304347826</v>
      </c>
      <c r="AA148" s="24" t="n">
        <f aca="false">IF(T148=0,0,Q148/T148)</f>
        <v>1.73913043478261</v>
      </c>
      <c r="AB148" s="24" t="n">
        <f aca="false">IF(J148=0,0,H148/J148)</f>
        <v>1.29411764705882</v>
      </c>
      <c r="AC148" s="24" t="str">
        <f aca="false">IF(E148="MBT",H148-MBTTargetCost,"")</f>
        <v/>
      </c>
      <c r="AD148" s="24" t="n">
        <f aca="false">IF(H148=0,0,((J148/10)+(Y148*3)+(Z148*8)+(AA148*6)+(S148*0.4))/(H148/1000)*(1+VetDmgBonus*0.3))</f>
        <v>337.180335968379</v>
      </c>
    </row>
    <row r="149" customFormat="false" ht="15" hidden="false" customHeight="false" outlineLevel="0" collapsed="false">
      <c r="A149" s="16" t="s">
        <v>807</v>
      </c>
      <c r="B149" s="39" t="s">
        <v>789</v>
      </c>
      <c r="C149" s="16" t="s">
        <v>511</v>
      </c>
      <c r="D149" s="18" t="s">
        <v>808</v>
      </c>
      <c r="E149" s="16" t="s">
        <v>185</v>
      </c>
      <c r="F149" s="16" t="s">
        <v>809</v>
      </c>
      <c r="G149" s="16" t="s">
        <v>141</v>
      </c>
      <c r="H149" s="15" t="n">
        <v>1350</v>
      </c>
      <c r="I149" s="15" t="n">
        <v>18</v>
      </c>
      <c r="J149" s="15" t="n">
        <v>1000</v>
      </c>
      <c r="K149" s="16" t="s">
        <v>179</v>
      </c>
      <c r="L149" s="15" t="n">
        <v>60</v>
      </c>
      <c r="M149" s="15" t="n">
        <v>8</v>
      </c>
      <c r="N149" s="15" t="n">
        <v>18</v>
      </c>
      <c r="O149" s="15" t="n">
        <v>30</v>
      </c>
      <c r="P149" s="15" t="n">
        <v>72</v>
      </c>
      <c r="Q149" s="15" t="n">
        <v>6</v>
      </c>
      <c r="R149" s="15" t="n">
        <v>18</v>
      </c>
      <c r="S149" s="19" t="n">
        <v>8</v>
      </c>
      <c r="T149" s="19" t="n">
        <v>2.1</v>
      </c>
      <c r="U149" s="18" t="s">
        <v>810</v>
      </c>
      <c r="V149" s="18" t="s">
        <v>231</v>
      </c>
      <c r="W149" s="18" t="s">
        <v>811</v>
      </c>
      <c r="X149" s="18" t="s">
        <v>404</v>
      </c>
      <c r="Y149" s="20" t="n">
        <f aca="false">IF(T149=0,0,N149/T149)</f>
        <v>8.57142857142857</v>
      </c>
      <c r="Z149" s="20" t="n">
        <f aca="false">IF(T149=0,0,P149/T149)</f>
        <v>34.2857142857143</v>
      </c>
      <c r="AA149" s="20" t="n">
        <f aca="false">IF(T149=0,0,Q149/T149)</f>
        <v>2.85714285714286</v>
      </c>
      <c r="AB149" s="20" t="n">
        <f aca="false">IF(J149=0,0,H149/J149)</f>
        <v>1.35</v>
      </c>
      <c r="AC149" s="20" t="n">
        <f aca="false">IF(E149="MBT",H149-MBTTargetCost,"")</f>
        <v>-150</v>
      </c>
      <c r="AD149" s="20" t="n">
        <f aca="false">IF(H149=0,0,((J149/10)+(Y149*3)+(Z149*8)+(AA149*6)+(S149*0.4))/(H149/1000)*(1+VetDmgBonus*0.3))</f>
        <v>334.71746031746</v>
      </c>
    </row>
    <row r="150" customFormat="false" ht="15" hidden="false" customHeight="false" outlineLevel="0" collapsed="false">
      <c r="A150" s="21" t="s">
        <v>812</v>
      </c>
      <c r="B150" s="40" t="s">
        <v>789</v>
      </c>
      <c r="C150" s="21" t="s">
        <v>511</v>
      </c>
      <c r="D150" s="23" t="s">
        <v>813</v>
      </c>
      <c r="E150" s="21" t="s">
        <v>192</v>
      </c>
      <c r="F150" s="21" t="s">
        <v>814</v>
      </c>
      <c r="G150" s="21" t="s">
        <v>141</v>
      </c>
      <c r="H150" s="15" t="n">
        <v>1050</v>
      </c>
      <c r="I150" s="15" t="n">
        <v>14</v>
      </c>
      <c r="J150" s="15" t="n">
        <v>360</v>
      </c>
      <c r="K150" s="21" t="s">
        <v>171</v>
      </c>
      <c r="L150" s="15" t="n">
        <v>52</v>
      </c>
      <c r="M150" s="15" t="n">
        <v>9</v>
      </c>
      <c r="N150" s="15" t="n">
        <v>30</v>
      </c>
      <c r="O150" s="15" t="n">
        <v>34</v>
      </c>
      <c r="P150" s="15" t="n">
        <v>38</v>
      </c>
      <c r="Q150" s="15" t="n">
        <v>6</v>
      </c>
      <c r="R150" s="15" t="n">
        <v>80</v>
      </c>
      <c r="S150" s="19" t="n">
        <v>13</v>
      </c>
      <c r="T150" s="19" t="n">
        <v>6</v>
      </c>
      <c r="U150" s="23" t="s">
        <v>180</v>
      </c>
      <c r="V150" s="23" t="s">
        <v>200</v>
      </c>
      <c r="W150" s="23" t="s">
        <v>142</v>
      </c>
      <c r="X150" s="23"/>
      <c r="Y150" s="24" t="n">
        <f aca="false">IF(T150=0,0,N150/T150)</f>
        <v>5</v>
      </c>
      <c r="Z150" s="24" t="n">
        <f aca="false">IF(T150=0,0,P150/T150)</f>
        <v>6.33333333333333</v>
      </c>
      <c r="AA150" s="24" t="n">
        <f aca="false">IF(T150=0,0,Q150/T150)</f>
        <v>1</v>
      </c>
      <c r="AB150" s="24" t="n">
        <f aca="false">IF(J150=0,0,H150/J150)</f>
        <v>2.91666666666667</v>
      </c>
      <c r="AC150" s="24" t="str">
        <f aca="false">IF(E150="MBT",H150-MBTTargetCost,"")</f>
        <v/>
      </c>
      <c r="AD150" s="24" t="n">
        <f aca="false">IF(H150=0,0,((J150/10)+(Y150*3)+(Z150*8)+(AA150*6)+(S150*0.4))/(H150/1000)*(1+VetDmgBonus*0.3))</f>
        <v>115.553968253968</v>
      </c>
    </row>
    <row r="151" customFormat="false" ht="15" hidden="false" customHeight="false" outlineLevel="0" collapsed="false">
      <c r="A151" s="16" t="s">
        <v>815</v>
      </c>
      <c r="B151" s="39" t="s">
        <v>789</v>
      </c>
      <c r="C151" s="16" t="s">
        <v>511</v>
      </c>
      <c r="D151" s="18" t="s">
        <v>816</v>
      </c>
      <c r="E151" s="16" t="s">
        <v>236</v>
      </c>
      <c r="F151" s="16" t="s">
        <v>339</v>
      </c>
      <c r="G151" s="16" t="s">
        <v>141</v>
      </c>
      <c r="H151" s="15" t="n">
        <v>1250</v>
      </c>
      <c r="I151" s="15" t="n">
        <v>16</v>
      </c>
      <c r="J151" s="15" t="n">
        <v>360</v>
      </c>
      <c r="K151" s="16" t="s">
        <v>171</v>
      </c>
      <c r="L151" s="15" t="n">
        <v>50</v>
      </c>
      <c r="M151" s="15" t="n">
        <v>9</v>
      </c>
      <c r="N151" s="15" t="n">
        <v>65</v>
      </c>
      <c r="O151" s="15" t="n">
        <v>45</v>
      </c>
      <c r="P151" s="15" t="n">
        <v>32</v>
      </c>
      <c r="Q151" s="15" t="n">
        <v>6</v>
      </c>
      <c r="R151" s="15" t="n">
        <v>80</v>
      </c>
      <c r="S151" s="19" t="n">
        <v>16</v>
      </c>
      <c r="T151" s="19" t="n">
        <v>9</v>
      </c>
      <c r="U151" s="18" t="s">
        <v>817</v>
      </c>
      <c r="V151" s="18" t="s">
        <v>818</v>
      </c>
      <c r="W151" s="18" t="s">
        <v>545</v>
      </c>
      <c r="X151" s="18"/>
      <c r="Y151" s="20" t="n">
        <f aca="false">IF(T151=0,0,N151/T151)</f>
        <v>7.22222222222222</v>
      </c>
      <c r="Z151" s="20" t="n">
        <f aca="false">IF(T151=0,0,P151/T151)</f>
        <v>3.55555555555556</v>
      </c>
      <c r="AA151" s="20" t="n">
        <f aca="false">IF(T151=0,0,Q151/T151)</f>
        <v>0.666666666666667</v>
      </c>
      <c r="AB151" s="20" t="n">
        <f aca="false">IF(J151=0,0,H151/J151)</f>
        <v>3.47222222222222</v>
      </c>
      <c r="AC151" s="20" t="str">
        <f aca="false">IF(E151="MBT",H151-MBTTargetCost,"")</f>
        <v/>
      </c>
      <c r="AD151" s="20" t="n">
        <f aca="false">IF(H151=0,0,((J151/10)+(Y151*3)+(Z151*8)+(AA151*6)+(S151*0.4))/(H151/1000)*(1+VetDmgBonus*0.3))</f>
        <v>82.9995555555556</v>
      </c>
    </row>
    <row r="152" customFormat="false" ht="15" hidden="false" customHeight="false" outlineLevel="0" collapsed="false">
      <c r="A152" s="21" t="s">
        <v>819</v>
      </c>
      <c r="B152" s="40" t="s">
        <v>789</v>
      </c>
      <c r="C152" s="21" t="s">
        <v>511</v>
      </c>
      <c r="D152" s="23" t="s">
        <v>820</v>
      </c>
      <c r="E152" s="21" t="s">
        <v>711</v>
      </c>
      <c r="F152" s="21" t="s">
        <v>821</v>
      </c>
      <c r="G152" s="21" t="s">
        <v>141</v>
      </c>
      <c r="H152" s="15" t="n">
        <v>1400</v>
      </c>
      <c r="I152" s="15" t="n">
        <v>18</v>
      </c>
      <c r="J152" s="15" t="n">
        <v>280</v>
      </c>
      <c r="K152" s="21" t="s">
        <v>223</v>
      </c>
      <c r="L152" s="15" t="n">
        <v>60</v>
      </c>
      <c r="M152" s="15" t="n">
        <v>8</v>
      </c>
      <c r="N152" s="15" t="n">
        <v>20</v>
      </c>
      <c r="O152" s="15" t="n">
        <v>35</v>
      </c>
      <c r="P152" s="15" t="n">
        <v>55</v>
      </c>
      <c r="Q152" s="15" t="n">
        <v>16</v>
      </c>
      <c r="R152" s="15" t="n">
        <v>90</v>
      </c>
      <c r="S152" s="19" t="n">
        <v>20</v>
      </c>
      <c r="T152" s="19" t="n">
        <v>14</v>
      </c>
      <c r="U152" s="23" t="s">
        <v>822</v>
      </c>
      <c r="V152" s="23" t="s">
        <v>823</v>
      </c>
      <c r="W152" s="23" t="s">
        <v>342</v>
      </c>
      <c r="X152" s="23" t="s">
        <v>824</v>
      </c>
      <c r="Y152" s="24" t="n">
        <f aca="false">IF(T152=0,0,N152/T152)</f>
        <v>1.42857142857143</v>
      </c>
      <c r="Z152" s="24" t="n">
        <f aca="false">IF(T152=0,0,P152/T152)</f>
        <v>3.92857142857143</v>
      </c>
      <c r="AA152" s="24" t="n">
        <f aca="false">IF(T152=0,0,Q152/T152)</f>
        <v>1.14285714285714</v>
      </c>
      <c r="AB152" s="24" t="n">
        <f aca="false">IF(J152=0,0,H152/J152)</f>
        <v>5</v>
      </c>
      <c r="AC152" s="24" t="str">
        <f aca="false">IF(E152="MBT",H152-MBTTargetCost,"")</f>
        <v/>
      </c>
      <c r="AD152" s="24" t="n">
        <f aca="false">IF(H152=0,0,((J152/10)+(Y152*3)+(Z152*8)+(AA152*6)+(S152*0.4))/(H152/1000)*(1+VetDmgBonus*0.3))</f>
        <v>60.3316326530612</v>
      </c>
    </row>
    <row r="153" customFormat="false" ht="15" hidden="false" customHeight="false" outlineLevel="0" collapsed="false">
      <c r="A153" s="16" t="s">
        <v>825</v>
      </c>
      <c r="B153" s="39" t="s">
        <v>789</v>
      </c>
      <c r="C153" s="16" t="s">
        <v>511</v>
      </c>
      <c r="D153" s="18" t="s">
        <v>826</v>
      </c>
      <c r="E153" s="16" t="s">
        <v>345</v>
      </c>
      <c r="F153" s="16" t="s">
        <v>827</v>
      </c>
      <c r="G153" s="16" t="s">
        <v>141</v>
      </c>
      <c r="H153" s="15" t="n">
        <v>1100</v>
      </c>
      <c r="I153" s="15" t="n">
        <v>16</v>
      </c>
      <c r="J153" s="15" t="n">
        <v>360</v>
      </c>
      <c r="K153" s="16" t="s">
        <v>171</v>
      </c>
      <c r="L153" s="15" t="n">
        <v>62</v>
      </c>
      <c r="M153" s="15" t="n">
        <v>12</v>
      </c>
      <c r="N153" s="15" t="n">
        <v>2</v>
      </c>
      <c r="O153" s="15" t="n">
        <v>4</v>
      </c>
      <c r="P153" s="15" t="n">
        <v>4</v>
      </c>
      <c r="Q153" s="15" t="n">
        <v>58</v>
      </c>
      <c r="R153" s="15" t="n">
        <v>10</v>
      </c>
      <c r="S153" s="19" t="n">
        <v>11</v>
      </c>
      <c r="T153" s="19" t="n">
        <v>4</v>
      </c>
      <c r="U153" s="18" t="s">
        <v>828</v>
      </c>
      <c r="V153" s="18" t="s">
        <v>348</v>
      </c>
      <c r="W153" s="18" t="s">
        <v>200</v>
      </c>
      <c r="X153" s="18"/>
      <c r="Y153" s="20" t="n">
        <f aca="false">IF(T153=0,0,N153/T153)</f>
        <v>0.5</v>
      </c>
      <c r="Z153" s="20" t="n">
        <f aca="false">IF(T153=0,0,P153/T153)</f>
        <v>1</v>
      </c>
      <c r="AA153" s="20" t="n">
        <f aca="false">IF(T153=0,0,Q153/T153)</f>
        <v>14.5</v>
      </c>
      <c r="AB153" s="20" t="n">
        <f aca="false">IF(J153=0,0,H153/J153)</f>
        <v>3.05555555555556</v>
      </c>
      <c r="AC153" s="20" t="str">
        <f aca="false">IF(E153="MBT",H153-MBTTargetCost,"")</f>
        <v/>
      </c>
      <c r="AD153" s="20" t="n">
        <f aca="false">IF(H153=0,0,((J153/10)+(Y153*3)+(Z153*8)+(AA153*6)+(S153*0.4))/(H153/1000)*(1+VetDmgBonus*0.3))</f>
        <v>133.788636363636</v>
      </c>
    </row>
    <row r="154" customFormat="false" ht="15" hidden="false" customHeight="false" outlineLevel="0" collapsed="false">
      <c r="A154" s="21" t="s">
        <v>829</v>
      </c>
      <c r="B154" s="40" t="s">
        <v>789</v>
      </c>
      <c r="C154" s="21" t="s">
        <v>511</v>
      </c>
      <c r="D154" s="23" t="s">
        <v>830</v>
      </c>
      <c r="E154" s="21" t="s">
        <v>345</v>
      </c>
      <c r="F154" s="21" t="s">
        <v>831</v>
      </c>
      <c r="G154" s="21" t="s">
        <v>141</v>
      </c>
      <c r="H154" s="15" t="n">
        <v>700</v>
      </c>
      <c r="I154" s="15" t="n">
        <v>12</v>
      </c>
      <c r="J154" s="15" t="n">
        <v>260</v>
      </c>
      <c r="K154" s="21" t="s">
        <v>223</v>
      </c>
      <c r="L154" s="15" t="n">
        <v>70</v>
      </c>
      <c r="M154" s="15" t="n">
        <v>9</v>
      </c>
      <c r="N154" s="15" t="n">
        <v>6</v>
      </c>
      <c r="O154" s="15" t="n">
        <v>8</v>
      </c>
      <c r="P154" s="15" t="n">
        <v>4</v>
      </c>
      <c r="Q154" s="15" t="n">
        <v>40</v>
      </c>
      <c r="R154" s="15" t="n">
        <v>6</v>
      </c>
      <c r="S154" s="19" t="n">
        <v>5</v>
      </c>
      <c r="T154" s="19" t="n">
        <v>1</v>
      </c>
      <c r="U154" s="23" t="s">
        <v>832</v>
      </c>
      <c r="V154" s="23" t="s">
        <v>381</v>
      </c>
      <c r="W154" s="23" t="s">
        <v>833</v>
      </c>
      <c r="X154" s="23"/>
      <c r="Y154" s="24" t="n">
        <f aca="false">IF(T154=0,0,N154/T154)</f>
        <v>6</v>
      </c>
      <c r="Z154" s="24" t="n">
        <f aca="false">IF(T154=0,0,P154/T154)</f>
        <v>4</v>
      </c>
      <c r="AA154" s="24" t="n">
        <f aca="false">IF(T154=0,0,Q154/T154)</f>
        <v>40</v>
      </c>
      <c r="AB154" s="24" t="n">
        <f aca="false">IF(J154=0,0,H154/J154)</f>
        <v>2.69230769230769</v>
      </c>
      <c r="AC154" s="24" t="str">
        <f aca="false">IF(E154="MBT",H154-MBTTargetCost,"")</f>
        <v/>
      </c>
      <c r="AD154" s="24" t="n">
        <f aca="false">IF(H154=0,0,((J154/10)+(Y154*3)+(Z154*8)+(AA154*6)+(S154*0.4))/(H154/1000)*(1+VetDmgBonus*0.3))</f>
        <v>488.357142857143</v>
      </c>
    </row>
    <row r="155" customFormat="false" ht="15" hidden="false" customHeight="false" outlineLevel="0" collapsed="false">
      <c r="A155" s="16" t="s">
        <v>834</v>
      </c>
      <c r="B155" s="39" t="s">
        <v>789</v>
      </c>
      <c r="C155" s="16" t="s">
        <v>511</v>
      </c>
      <c r="D155" s="18" t="s">
        <v>835</v>
      </c>
      <c r="E155" s="16" t="s">
        <v>198</v>
      </c>
      <c r="F155" s="16" t="s">
        <v>836</v>
      </c>
      <c r="G155" s="16" t="s">
        <v>200</v>
      </c>
      <c r="H155" s="15" t="n">
        <v>1300</v>
      </c>
      <c r="I155" s="15" t="n">
        <v>16</v>
      </c>
      <c r="J155" s="15" t="n">
        <v>300</v>
      </c>
      <c r="K155" s="16" t="s">
        <v>200</v>
      </c>
      <c r="L155" s="15" t="n">
        <v>88</v>
      </c>
      <c r="M155" s="15" t="n">
        <v>9</v>
      </c>
      <c r="N155" s="15" t="n">
        <v>8</v>
      </c>
      <c r="O155" s="15" t="n">
        <v>14</v>
      </c>
      <c r="P155" s="15" t="n">
        <v>64</v>
      </c>
      <c r="Q155" s="15" t="n">
        <v>6</v>
      </c>
      <c r="R155" s="15" t="n">
        <v>7</v>
      </c>
      <c r="S155" s="19" t="n">
        <v>7.5</v>
      </c>
      <c r="T155" s="19" t="n">
        <v>3.4</v>
      </c>
      <c r="U155" s="18" t="s">
        <v>837</v>
      </c>
      <c r="V155" s="18" t="s">
        <v>316</v>
      </c>
      <c r="W155" s="18" t="s">
        <v>838</v>
      </c>
      <c r="X155" s="18"/>
      <c r="Y155" s="20" t="n">
        <f aca="false">IF(T155=0,0,N155/T155)</f>
        <v>2.35294117647059</v>
      </c>
      <c r="Z155" s="20" t="n">
        <f aca="false">IF(T155=0,0,P155/T155)</f>
        <v>18.8235294117647</v>
      </c>
      <c r="AA155" s="20" t="n">
        <f aca="false">IF(T155=0,0,Q155/T155)</f>
        <v>1.76470588235294</v>
      </c>
      <c r="AB155" s="20" t="n">
        <f aca="false">IF(J155=0,0,H155/J155)</f>
        <v>4.33333333333333</v>
      </c>
      <c r="AC155" s="20" t="str">
        <f aca="false">IF(E155="MBT",H155-MBTTargetCost,"")</f>
        <v/>
      </c>
      <c r="AD155" s="20" t="n">
        <f aca="false">IF(H155=0,0,((J155/10)+(Y155*3)+(Z155*8)+(AA155*6)+(S155*0.4))/(H155/1000)*(1+VetDmgBonus*0.3))</f>
        <v>166.406108597285</v>
      </c>
    </row>
    <row r="156" customFormat="false" ht="15" hidden="false" customHeight="false" outlineLevel="0" collapsed="false">
      <c r="A156" s="21" t="s">
        <v>839</v>
      </c>
      <c r="B156" s="40" t="s">
        <v>789</v>
      </c>
      <c r="C156" s="21" t="s">
        <v>511</v>
      </c>
      <c r="D156" s="23" t="s">
        <v>840</v>
      </c>
      <c r="E156" s="21" t="s">
        <v>559</v>
      </c>
      <c r="F156" s="21" t="s">
        <v>841</v>
      </c>
      <c r="G156" s="21" t="s">
        <v>200</v>
      </c>
      <c r="H156" s="15" t="n">
        <v>400</v>
      </c>
      <c r="I156" s="15" t="n">
        <v>10</v>
      </c>
      <c r="J156" s="15" t="n">
        <v>100</v>
      </c>
      <c r="K156" s="21" t="s">
        <v>200</v>
      </c>
      <c r="L156" s="15" t="n">
        <v>72</v>
      </c>
      <c r="M156" s="15" t="n">
        <v>13</v>
      </c>
      <c r="N156" s="15" t="n">
        <v>6</v>
      </c>
      <c r="O156" s="15" t="n">
        <v>10</v>
      </c>
      <c r="P156" s="15" t="n">
        <v>16</v>
      </c>
      <c r="Q156" s="15" t="n">
        <v>8</v>
      </c>
      <c r="R156" s="15" t="n">
        <v>8</v>
      </c>
      <c r="S156" s="19" t="n">
        <v>10</v>
      </c>
      <c r="T156" s="19" t="n">
        <v>4.2</v>
      </c>
      <c r="U156" s="23" t="s">
        <v>842</v>
      </c>
      <c r="V156" s="23" t="s">
        <v>631</v>
      </c>
      <c r="W156" s="23" t="s">
        <v>632</v>
      </c>
      <c r="X156" s="23"/>
      <c r="Y156" s="24" t="n">
        <f aca="false">IF(T156=0,0,N156/T156)</f>
        <v>1.42857142857143</v>
      </c>
      <c r="Z156" s="24" t="n">
        <f aca="false">IF(T156=0,0,P156/T156)</f>
        <v>3.80952380952381</v>
      </c>
      <c r="AA156" s="24" t="n">
        <f aca="false">IF(T156=0,0,Q156/T156)</f>
        <v>1.9047619047619</v>
      </c>
      <c r="AB156" s="24" t="n">
        <f aca="false">IF(J156=0,0,H156/J156)</f>
        <v>4</v>
      </c>
      <c r="AC156" s="24" t="str">
        <f aca="false">IF(E156="MBT",H156-MBTTargetCost,"")</f>
        <v/>
      </c>
      <c r="AD156" s="24" t="n">
        <f aca="false">IF(H156=0,0,((J156/10)+(Y156*3)+(Z156*8)+(AA156*6)+(S156*0.4))/(H156/1000)*(1+VetDmgBonus*0.3))</f>
        <v>161.761904761905</v>
      </c>
    </row>
    <row r="157" customFormat="false" ht="23.85" hidden="false" customHeight="false" outlineLevel="0" collapsed="false">
      <c r="A157" s="16" t="s">
        <v>843</v>
      </c>
      <c r="B157" s="39" t="s">
        <v>789</v>
      </c>
      <c r="C157" s="16" t="s">
        <v>511</v>
      </c>
      <c r="D157" s="18" t="s">
        <v>844</v>
      </c>
      <c r="E157" s="16" t="s">
        <v>559</v>
      </c>
      <c r="F157" s="16" t="s">
        <v>845</v>
      </c>
      <c r="G157" s="16" t="s">
        <v>200</v>
      </c>
      <c r="H157" s="15" t="n">
        <v>150</v>
      </c>
      <c r="I157" s="15" t="n">
        <v>5</v>
      </c>
      <c r="J157" s="41" t="n">
        <f aca="false">SwarmHP</f>
        <v>40</v>
      </c>
      <c r="K157" s="16" t="s">
        <v>200</v>
      </c>
      <c r="L157" s="15" t="n">
        <v>65</v>
      </c>
      <c r="M157" s="15" t="n">
        <v>10</v>
      </c>
      <c r="N157" s="15" t="n">
        <v>8</v>
      </c>
      <c r="O157" s="15" t="n">
        <v>12</v>
      </c>
      <c r="P157" s="15" t="n">
        <v>20</v>
      </c>
      <c r="Q157" s="15" t="n">
        <v>4</v>
      </c>
      <c r="R157" s="15" t="n">
        <v>25</v>
      </c>
      <c r="S157" s="19" t="n">
        <v>6</v>
      </c>
      <c r="T157" s="19" t="n">
        <v>0</v>
      </c>
      <c r="U157" s="18" t="s">
        <v>846</v>
      </c>
      <c r="V157" s="18" t="s">
        <v>847</v>
      </c>
      <c r="W157" s="18" t="s">
        <v>848</v>
      </c>
      <c r="X157" s="18" t="s">
        <v>849</v>
      </c>
      <c r="Y157" s="20" t="n">
        <f aca="false">IF(T157=0,0,N157/T157)</f>
        <v>0</v>
      </c>
      <c r="Z157" s="20" t="n">
        <f aca="false">IF(T157=0,0,P157/T157)</f>
        <v>0</v>
      </c>
      <c r="AA157" s="20" t="n">
        <f aca="false">IF(T157=0,0,Q157/T157)</f>
        <v>0</v>
      </c>
      <c r="AB157" s="20" t="n">
        <f aca="false">IF(J157=0,0,H157/J157)</f>
        <v>3.75</v>
      </c>
      <c r="AC157" s="20" t="str">
        <f aca="false">IF(E157="MBT",H157-MBTTargetCost,"")</f>
        <v/>
      </c>
      <c r="AD157" s="20" t="n">
        <f aca="false">IF(H157=0,0,((J157/10)+(Y157*3)+(Z157*8)+(AA157*6)+(S157*0.4))/(H157/1000)*(1+VetDmgBonus*0.3))</f>
        <v>45.8666666666667</v>
      </c>
    </row>
    <row r="158" customFormat="false" ht="15" hidden="false" customHeight="false" outlineLevel="0" collapsed="false">
      <c r="A158" s="21" t="s">
        <v>850</v>
      </c>
      <c r="B158" s="40" t="s">
        <v>789</v>
      </c>
      <c r="C158" s="21" t="s">
        <v>511</v>
      </c>
      <c r="D158" s="23" t="s">
        <v>851</v>
      </c>
      <c r="E158" s="21" t="s">
        <v>559</v>
      </c>
      <c r="F158" s="21" t="s">
        <v>852</v>
      </c>
      <c r="G158" s="21" t="s">
        <v>200</v>
      </c>
      <c r="H158" s="15" t="n">
        <v>400</v>
      </c>
      <c r="I158" s="15" t="n">
        <v>10</v>
      </c>
      <c r="J158" s="15" t="n">
        <v>80</v>
      </c>
      <c r="K158" s="21" t="s">
        <v>200</v>
      </c>
      <c r="L158" s="15" t="n">
        <v>150</v>
      </c>
      <c r="M158" s="15" t="n">
        <v>10</v>
      </c>
      <c r="N158" s="15" t="n">
        <v>10</v>
      </c>
      <c r="O158" s="15" t="n">
        <v>16</v>
      </c>
      <c r="P158" s="15" t="n">
        <v>30</v>
      </c>
      <c r="Q158" s="15" t="n">
        <v>8</v>
      </c>
      <c r="R158" s="15" t="n">
        <v>20</v>
      </c>
      <c r="S158" s="19" t="n">
        <v>8</v>
      </c>
      <c r="T158" s="19" t="n">
        <v>0</v>
      </c>
      <c r="U158" s="23" t="s">
        <v>853</v>
      </c>
      <c r="V158" s="23" t="s">
        <v>206</v>
      </c>
      <c r="W158" s="23" t="s">
        <v>581</v>
      </c>
      <c r="X158" s="23"/>
      <c r="Y158" s="24" t="n">
        <f aca="false">IF(T158=0,0,N158/T158)</f>
        <v>0</v>
      </c>
      <c r="Z158" s="24" t="n">
        <f aca="false">IF(T158=0,0,P158/T158)</f>
        <v>0</v>
      </c>
      <c r="AA158" s="24" t="n">
        <f aca="false">IF(T158=0,0,Q158/T158)</f>
        <v>0</v>
      </c>
      <c r="AB158" s="24" t="n">
        <f aca="false">IF(J158=0,0,H158/J158)</f>
        <v>5</v>
      </c>
      <c r="AC158" s="24" t="str">
        <f aca="false">IF(E158="MBT",H158-MBTTargetCost,"")</f>
        <v/>
      </c>
      <c r="AD158" s="24" t="n">
        <f aca="false">IF(H158=0,0,((J158/10)+(Y158*3)+(Z158*8)+(AA158*6)+(S158*0.4))/(H158/1000)*(1+VetDmgBonus*0.3))</f>
        <v>30.1</v>
      </c>
    </row>
    <row r="159" customFormat="false" ht="15" hidden="false" customHeight="false" outlineLevel="0" collapsed="false">
      <c r="A159" s="16" t="s">
        <v>854</v>
      </c>
      <c r="B159" s="39" t="s">
        <v>789</v>
      </c>
      <c r="C159" s="16" t="s">
        <v>511</v>
      </c>
      <c r="D159" s="18" t="s">
        <v>855</v>
      </c>
      <c r="E159" s="16" t="s">
        <v>206</v>
      </c>
      <c r="F159" s="16" t="s">
        <v>856</v>
      </c>
      <c r="G159" s="16" t="s">
        <v>200</v>
      </c>
      <c r="H159" s="15" t="n">
        <v>1200</v>
      </c>
      <c r="I159" s="15" t="n">
        <v>16</v>
      </c>
      <c r="J159" s="15" t="n">
        <v>260</v>
      </c>
      <c r="K159" s="16" t="s">
        <v>200</v>
      </c>
      <c r="L159" s="15" t="n">
        <v>128</v>
      </c>
      <c r="M159" s="15" t="n">
        <v>10</v>
      </c>
      <c r="N159" s="15" t="n">
        <v>6</v>
      </c>
      <c r="O159" s="15" t="n">
        <v>8</v>
      </c>
      <c r="P159" s="15" t="n">
        <v>20</v>
      </c>
      <c r="Q159" s="15" t="n">
        <v>40</v>
      </c>
      <c r="R159" s="15" t="n">
        <v>10</v>
      </c>
      <c r="S159" s="19" t="n">
        <v>10</v>
      </c>
      <c r="T159" s="19" t="n">
        <v>3.6</v>
      </c>
      <c r="U159" s="18" t="s">
        <v>857</v>
      </c>
      <c r="V159" s="18" t="s">
        <v>858</v>
      </c>
      <c r="W159" s="18" t="s">
        <v>859</v>
      </c>
      <c r="X159" s="18" t="s">
        <v>860</v>
      </c>
      <c r="Y159" s="20" t="n">
        <f aca="false">IF(T159=0,0,N159/T159)</f>
        <v>1.66666666666667</v>
      </c>
      <c r="Z159" s="20" t="n">
        <f aca="false">IF(T159=0,0,P159/T159)</f>
        <v>5.55555555555556</v>
      </c>
      <c r="AA159" s="20" t="n">
        <f aca="false">IF(T159=0,0,Q159/T159)</f>
        <v>11.1111111111111</v>
      </c>
      <c r="AB159" s="20" t="n">
        <f aca="false">IF(J159=0,0,H159/J159)</f>
        <v>4.61538461538462</v>
      </c>
      <c r="AC159" s="20" t="str">
        <f aca="false">IF(E159="MBT",H159-MBTTargetCost,"")</f>
        <v/>
      </c>
      <c r="AD159" s="20" t="n">
        <f aca="false">IF(H159=0,0,((J159/10)+(Y159*3)+(Z159*8)+(AA159*6)+(S159*0.4))/(H159/1000)*(1+VetDmgBonus*0.3))</f>
        <v>130.891203703704</v>
      </c>
    </row>
    <row r="160" customFormat="false" ht="15" hidden="false" customHeight="false" outlineLevel="0" collapsed="false">
      <c r="A160" s="21" t="s">
        <v>861</v>
      </c>
      <c r="B160" s="40" t="s">
        <v>789</v>
      </c>
      <c r="C160" s="21" t="s">
        <v>511</v>
      </c>
      <c r="D160" s="23" t="s">
        <v>862</v>
      </c>
      <c r="E160" s="21" t="s">
        <v>357</v>
      </c>
      <c r="F160" s="21" t="s">
        <v>863</v>
      </c>
      <c r="G160" s="21" t="s">
        <v>200</v>
      </c>
      <c r="H160" s="15" t="n">
        <v>1400</v>
      </c>
      <c r="I160" s="15" t="n">
        <v>18</v>
      </c>
      <c r="J160" s="15" t="n">
        <v>300</v>
      </c>
      <c r="K160" s="21" t="s">
        <v>200</v>
      </c>
      <c r="L160" s="15" t="n">
        <v>120</v>
      </c>
      <c r="M160" s="15" t="n">
        <v>10</v>
      </c>
      <c r="N160" s="15" t="n">
        <v>12</v>
      </c>
      <c r="O160" s="15" t="n">
        <v>18</v>
      </c>
      <c r="P160" s="15" t="n">
        <v>38</v>
      </c>
      <c r="Q160" s="15" t="n">
        <v>16</v>
      </c>
      <c r="R160" s="15" t="n">
        <v>28</v>
      </c>
      <c r="S160" s="19" t="n">
        <v>11</v>
      </c>
      <c r="T160" s="19" t="n">
        <v>4</v>
      </c>
      <c r="U160" s="23" t="s">
        <v>864</v>
      </c>
      <c r="V160" s="23" t="s">
        <v>360</v>
      </c>
      <c r="W160" s="23" t="s">
        <v>218</v>
      </c>
      <c r="X160" s="23"/>
      <c r="Y160" s="24" t="n">
        <f aca="false">IF(T160=0,0,N160/T160)</f>
        <v>3</v>
      </c>
      <c r="Z160" s="24" t="n">
        <f aca="false">IF(T160=0,0,P160/T160)</f>
        <v>9.5</v>
      </c>
      <c r="AA160" s="24" t="n">
        <f aca="false">IF(T160=0,0,Q160/T160)</f>
        <v>4</v>
      </c>
      <c r="AB160" s="24" t="n">
        <f aca="false">IF(J160=0,0,H160/J160)</f>
        <v>4.66666666666667</v>
      </c>
      <c r="AC160" s="24" t="str">
        <f aca="false">IF(E160="MBT",H160-MBTTargetCost,"")</f>
        <v/>
      </c>
      <c r="AD160" s="24" t="n">
        <f aca="false">IF(H160=0,0,((J160/10)+(Y160*3)+(Z160*8)+(AA160*6)+(S160*0.4))/(H160/1000)*(1+VetDmgBonus*0.3))</f>
        <v>110.110714285714</v>
      </c>
    </row>
    <row r="161" customFormat="false" ht="15" hidden="false" customHeight="false" outlineLevel="0" collapsed="false">
      <c r="A161" s="16" t="s">
        <v>865</v>
      </c>
      <c r="B161" s="39" t="s">
        <v>789</v>
      </c>
      <c r="C161" s="16" t="s">
        <v>511</v>
      </c>
      <c r="D161" s="18" t="s">
        <v>866</v>
      </c>
      <c r="E161" s="16" t="s">
        <v>261</v>
      </c>
      <c r="F161" s="16" t="s">
        <v>867</v>
      </c>
      <c r="G161" s="16" t="s">
        <v>263</v>
      </c>
      <c r="H161" s="15" t="n">
        <v>1600</v>
      </c>
      <c r="I161" s="15" t="n">
        <v>22</v>
      </c>
      <c r="J161" s="15" t="n">
        <v>420</v>
      </c>
      <c r="K161" s="16" t="s">
        <v>261</v>
      </c>
      <c r="L161" s="15" t="n">
        <v>30</v>
      </c>
      <c r="M161" s="15" t="n">
        <v>6</v>
      </c>
      <c r="N161" s="15" t="n">
        <v>0</v>
      </c>
      <c r="O161" s="15" t="n">
        <v>0</v>
      </c>
      <c r="P161" s="15" t="n">
        <v>0</v>
      </c>
      <c r="Q161" s="15" t="n">
        <v>0</v>
      </c>
      <c r="R161" s="15" t="n">
        <v>0</v>
      </c>
      <c r="S161" s="19" t="n">
        <v>5</v>
      </c>
      <c r="T161" s="19" t="n">
        <v>10</v>
      </c>
      <c r="U161" s="18" t="s">
        <v>868</v>
      </c>
      <c r="V161" s="18" t="s">
        <v>365</v>
      </c>
      <c r="W161" s="18" t="s">
        <v>869</v>
      </c>
      <c r="X161" s="18"/>
      <c r="Y161" s="20" t="n">
        <f aca="false">IF(T161=0,0,N161/T161)</f>
        <v>0</v>
      </c>
      <c r="Z161" s="20" t="n">
        <f aca="false">IF(T161=0,0,P161/T161)</f>
        <v>0</v>
      </c>
      <c r="AA161" s="20" t="n">
        <f aca="false">IF(T161=0,0,Q161/T161)</f>
        <v>0</v>
      </c>
      <c r="AB161" s="20" t="n">
        <f aca="false">IF(J161=0,0,H161/J161)</f>
        <v>3.80952380952381</v>
      </c>
      <c r="AC161" s="20" t="str">
        <f aca="false">IF(E161="MBT",H161-MBTTargetCost,"")</f>
        <v/>
      </c>
      <c r="AD161" s="20" t="n">
        <f aca="false">IF(H161=0,0,((J161/10)+(Y161*3)+(Z161*8)+(AA161*6)+(S161*0.4))/(H161/1000)*(1+VetDmgBonus*0.3))</f>
        <v>29.5625</v>
      </c>
    </row>
  </sheetData>
  <autoFilter ref="A2:AD161"/>
  <mergeCells count="1">
    <mergeCell ref="A1:AD1"/>
  </mergeCells>
  <conditionalFormatting sqref="AD3:AD161">
    <cfRule type="colorScale" priority="2">
      <colorScale>
        <cfvo type="min" val="0"/>
        <cfvo type="percentile" val="50"/>
        <cfvo type="max" val="0"/>
        <color rgb="FFF4F1EA"/>
        <color rgb="FFA5D6A7"/>
        <color rgb="FF1B5E20"/>
      </colorScale>
    </cfRule>
  </conditionalFormatting>
  <conditionalFormatting sqref="C3:C161">
    <cfRule type="expression" priority="3" aboveAverage="0" equalAverage="0" bottom="0" percent="0" rank="0" text="" dxfId="118">
      <formula>$C3="WAVE0"</formula>
    </cfRule>
  </conditionalFormatting>
  <dataValidations count="5">
    <dataValidation allowBlank="false" errorStyle="stop" operator="between" showDropDown="false" showErrorMessage="false" showInputMessage="false" sqref="B3:B161" type="list">
      <formula1>"Egypt,Saudi,UAE,Algeria,Turkey,Israel,India,Pakistan,Iran"</formula1>
      <formula2>0</formula2>
    </dataValidation>
    <dataValidation allowBlank="false" errorStyle="stop" operator="between" showDropDown="false" showErrorMessage="false" showInputMessage="false" sqref="C3:C161" type="list">
      <formula1>"WAVE0,WAVE1,WAVE2,WAVE3"</formula1>
      <formula2>0</formula2>
    </dataValidation>
    <dataValidation allowBlank="false" errorStyle="stop" operator="between" showDropDown="false" showErrorMessage="false" showInputMessage="false" sqref="E3:E161" type="list">
      <formula1>"Infantry,AT infantry,AA infantry,SF,Engineer,APC,IFV,Light vehicle,Light tank,MBT,Tank escort,SPG,MLRS,Missile,Mobile AA,Attack helo,Transport helo,Fighter,Strike jet,UAV,Naval"</formula1>
      <formula2>0</formula2>
    </dataValidation>
    <dataValidation allowBlank="false" errorStyle="stop" operator="between" showDropDown="false" showErrorMessage="false" showInputMessage="false" sqref="G3:G161" type="list">
      <formula1>"Land,Air,Sea"</formula1>
      <formula2>0</formula2>
    </dataValidation>
    <dataValidation allowBlank="false" errorStyle="stop" operator="between" showDropDown="false" showErrorMessage="false" showInputMessage="false" sqref="K3:K161" type="list">
      <formula1>"Soft,Light,Medium,Heavy,Air,Naval"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&amp;LASH-SHARQ  ·  Stat Sheet v0.2</oddHeader>
    <oddFooter>&amp;RConfidential  ·  Page &amp;P /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4C41"/>
    <pageSetUpPr fitToPage="tru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6" min="4" style="0" width="10"/>
    <col collapsed="false" customWidth="true" hidden="false" outlineLevel="0" max="7" min="7" style="0" width="8"/>
    <col collapsed="false" customWidth="true" hidden="false" outlineLevel="0" max="9" min="8" style="0" width="12"/>
    <col collapsed="false" customWidth="true" hidden="false" outlineLevel="0" max="10" min="10" style="0" width="28"/>
    <col collapsed="false" customWidth="true" hidden="false" outlineLevel="0" max="11" min="11" style="0" width="36"/>
    <col collapsed="false" customWidth="true" hidden="false" outlineLevel="0" max="12" min="12" style="0" width="12"/>
  </cols>
  <sheetData>
    <row r="1" customFormat="false" ht="19.5" hidden="false" customHeight="true" outlineLevel="0" collapsed="false">
      <c r="A1" s="6" t="s">
        <v>870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21.75" hidden="false" customHeight="true" outlineLevel="0" collapsed="false">
      <c r="A2" s="7" t="s">
        <v>107</v>
      </c>
      <c r="B2" s="7" t="s">
        <v>108</v>
      </c>
      <c r="C2" s="7" t="s">
        <v>110</v>
      </c>
      <c r="D2" s="7" t="s">
        <v>871</v>
      </c>
      <c r="E2" s="7" t="s">
        <v>114</v>
      </c>
      <c r="F2" s="7" t="s">
        <v>115</v>
      </c>
      <c r="G2" s="7" t="s">
        <v>72</v>
      </c>
      <c r="H2" s="7" t="s">
        <v>872</v>
      </c>
      <c r="I2" s="7" t="s">
        <v>873</v>
      </c>
      <c r="J2" s="7" t="s">
        <v>874</v>
      </c>
      <c r="K2" s="7" t="s">
        <v>31</v>
      </c>
      <c r="L2" s="7" t="s">
        <v>132</v>
      </c>
    </row>
    <row r="3" customFormat="false" ht="15" hidden="false" customHeight="false" outlineLevel="0" collapsed="false">
      <c r="A3" s="11" t="s">
        <v>875</v>
      </c>
      <c r="B3" s="42" t="s">
        <v>876</v>
      </c>
      <c r="C3" s="8" t="s">
        <v>877</v>
      </c>
      <c r="D3" s="11" t="s">
        <v>878</v>
      </c>
      <c r="E3" s="15" t="n">
        <v>3500</v>
      </c>
      <c r="F3" s="15" t="n">
        <v>0</v>
      </c>
      <c r="G3" s="15" t="n">
        <v>2500</v>
      </c>
      <c r="H3" s="15" t="n">
        <v>0</v>
      </c>
      <c r="I3" s="15" t="n">
        <v>50</v>
      </c>
      <c r="J3" s="8" t="s">
        <v>879</v>
      </c>
      <c r="K3" s="8" t="s">
        <v>880</v>
      </c>
      <c r="L3" s="20" t="n">
        <f aca="false">IF(G3=0,0,E3/G3)</f>
        <v>1.4</v>
      </c>
    </row>
    <row r="4" customFormat="false" ht="23.85" hidden="false" customHeight="false" outlineLevel="0" collapsed="false">
      <c r="A4" s="14" t="s">
        <v>881</v>
      </c>
      <c r="B4" s="43" t="s">
        <v>876</v>
      </c>
      <c r="C4" s="12" t="s">
        <v>882</v>
      </c>
      <c r="D4" s="14" t="s">
        <v>883</v>
      </c>
      <c r="E4" s="15" t="n">
        <v>800</v>
      </c>
      <c r="F4" s="15" t="n">
        <v>8</v>
      </c>
      <c r="G4" s="15" t="n">
        <v>600</v>
      </c>
      <c r="H4" s="15" t="n">
        <v>0</v>
      </c>
      <c r="I4" s="41" t="n">
        <f aca="false">PowerPlantOutput</f>
        <v>100</v>
      </c>
      <c r="J4" s="12" t="s">
        <v>884</v>
      </c>
      <c r="K4" s="12" t="s">
        <v>885</v>
      </c>
      <c r="L4" s="24" t="n">
        <f aca="false">IF(G4=0,0,E4/G4)</f>
        <v>1.33333333333333</v>
      </c>
    </row>
    <row r="5" customFormat="false" ht="15" hidden="false" customHeight="false" outlineLevel="0" collapsed="false">
      <c r="A5" s="11" t="s">
        <v>886</v>
      </c>
      <c r="B5" s="42" t="s">
        <v>876</v>
      </c>
      <c r="C5" s="8" t="s">
        <v>887</v>
      </c>
      <c r="D5" s="11" t="s">
        <v>883</v>
      </c>
      <c r="E5" s="15" t="n">
        <v>600</v>
      </c>
      <c r="F5" s="15" t="n">
        <v>8</v>
      </c>
      <c r="G5" s="15" t="n">
        <v>500</v>
      </c>
      <c r="H5" s="15" t="n">
        <v>10</v>
      </c>
      <c r="I5" s="15" t="n">
        <v>0</v>
      </c>
      <c r="J5" s="8" t="s">
        <v>888</v>
      </c>
      <c r="K5" s="8" t="s">
        <v>889</v>
      </c>
      <c r="L5" s="20" t="n">
        <f aca="false">IF(G5=0,0,E5/G5)</f>
        <v>1.2</v>
      </c>
    </row>
    <row r="6" customFormat="false" ht="15" hidden="false" customHeight="false" outlineLevel="0" collapsed="false">
      <c r="A6" s="14" t="s">
        <v>890</v>
      </c>
      <c r="B6" s="43" t="s">
        <v>876</v>
      </c>
      <c r="C6" s="12" t="s">
        <v>891</v>
      </c>
      <c r="D6" s="14" t="s">
        <v>892</v>
      </c>
      <c r="E6" s="15" t="n">
        <v>500</v>
      </c>
      <c r="F6" s="15" t="n">
        <v>8</v>
      </c>
      <c r="G6" s="15" t="n">
        <v>700</v>
      </c>
      <c r="H6" s="15" t="n">
        <v>15</v>
      </c>
      <c r="I6" s="15" t="n">
        <v>0</v>
      </c>
      <c r="J6" s="12" t="s">
        <v>893</v>
      </c>
      <c r="K6" s="12"/>
      <c r="L6" s="24" t="n">
        <f aca="false">IF(G6=0,0,E6/G6)</f>
        <v>0.714285714285714</v>
      </c>
    </row>
    <row r="7" customFormat="false" ht="15" hidden="false" customHeight="false" outlineLevel="0" collapsed="false">
      <c r="A7" s="11" t="s">
        <v>894</v>
      </c>
      <c r="B7" s="42" t="s">
        <v>876</v>
      </c>
      <c r="C7" s="8" t="s">
        <v>895</v>
      </c>
      <c r="D7" s="11" t="s">
        <v>892</v>
      </c>
      <c r="E7" s="15" t="n">
        <v>2000</v>
      </c>
      <c r="F7" s="15" t="n">
        <v>14</v>
      </c>
      <c r="G7" s="15" t="n">
        <v>1200</v>
      </c>
      <c r="H7" s="15" t="n">
        <v>25</v>
      </c>
      <c r="I7" s="15" t="n">
        <v>0</v>
      </c>
      <c r="J7" s="8" t="s">
        <v>896</v>
      </c>
      <c r="K7" s="8"/>
      <c r="L7" s="20" t="n">
        <f aca="false">IF(G7=0,0,E7/G7)</f>
        <v>1.66666666666667</v>
      </c>
    </row>
    <row r="8" customFormat="false" ht="15" hidden="false" customHeight="false" outlineLevel="0" collapsed="false">
      <c r="A8" s="14" t="s">
        <v>897</v>
      </c>
      <c r="B8" s="43" t="s">
        <v>876</v>
      </c>
      <c r="C8" s="12" t="s">
        <v>898</v>
      </c>
      <c r="D8" s="14" t="s">
        <v>892</v>
      </c>
      <c r="E8" s="15" t="n">
        <v>1800</v>
      </c>
      <c r="F8" s="15" t="n">
        <v>14</v>
      </c>
      <c r="G8" s="15" t="n">
        <v>1000</v>
      </c>
      <c r="H8" s="15" t="n">
        <v>30</v>
      </c>
      <c r="I8" s="15" t="n">
        <v>0</v>
      </c>
      <c r="J8" s="12" t="s">
        <v>899</v>
      </c>
      <c r="K8" s="12" t="s">
        <v>900</v>
      </c>
      <c r="L8" s="24" t="n">
        <f aca="false">IF(G8=0,0,E8/G8)</f>
        <v>1.8</v>
      </c>
    </row>
    <row r="9" customFormat="false" ht="15" hidden="false" customHeight="false" outlineLevel="0" collapsed="false">
      <c r="A9" s="11" t="s">
        <v>901</v>
      </c>
      <c r="B9" s="42" t="s">
        <v>876</v>
      </c>
      <c r="C9" s="8" t="s">
        <v>902</v>
      </c>
      <c r="D9" s="11" t="s">
        <v>892</v>
      </c>
      <c r="E9" s="15" t="n">
        <v>1800</v>
      </c>
      <c r="F9" s="15" t="n">
        <v>14</v>
      </c>
      <c r="G9" s="15" t="n">
        <v>1100</v>
      </c>
      <c r="H9" s="15" t="n">
        <v>25</v>
      </c>
      <c r="I9" s="15" t="n">
        <v>0</v>
      </c>
      <c r="J9" s="8" t="s">
        <v>903</v>
      </c>
      <c r="K9" s="8" t="s">
        <v>904</v>
      </c>
      <c r="L9" s="20" t="n">
        <f aca="false">IF(G9=0,0,E9/G9)</f>
        <v>1.63636363636364</v>
      </c>
    </row>
    <row r="10" customFormat="false" ht="15" hidden="false" customHeight="false" outlineLevel="0" collapsed="false">
      <c r="A10" s="14" t="s">
        <v>905</v>
      </c>
      <c r="B10" s="43" t="s">
        <v>876</v>
      </c>
      <c r="C10" s="12" t="s">
        <v>906</v>
      </c>
      <c r="D10" s="14" t="s">
        <v>907</v>
      </c>
      <c r="E10" s="15" t="n">
        <v>1500</v>
      </c>
      <c r="F10" s="15" t="n">
        <v>16</v>
      </c>
      <c r="G10" s="15" t="n">
        <v>800</v>
      </c>
      <c r="H10" s="15" t="n">
        <v>30</v>
      </c>
      <c r="I10" s="15" t="n">
        <v>0</v>
      </c>
      <c r="J10" s="12" t="s">
        <v>908</v>
      </c>
      <c r="K10" s="12"/>
      <c r="L10" s="24" t="n">
        <f aca="false">IF(G10=0,0,E10/G10)</f>
        <v>1.875</v>
      </c>
    </row>
    <row r="11" customFormat="false" ht="15" hidden="false" customHeight="false" outlineLevel="0" collapsed="false">
      <c r="A11" s="11" t="s">
        <v>909</v>
      </c>
      <c r="B11" s="42" t="s">
        <v>876</v>
      </c>
      <c r="C11" s="8" t="s">
        <v>910</v>
      </c>
      <c r="D11" s="11" t="s">
        <v>911</v>
      </c>
      <c r="E11" s="15" t="n">
        <v>400</v>
      </c>
      <c r="F11" s="15" t="n">
        <v>8</v>
      </c>
      <c r="G11" s="15" t="n">
        <v>500</v>
      </c>
      <c r="H11" s="15" t="n">
        <v>5</v>
      </c>
      <c r="I11" s="15" t="n">
        <v>0</v>
      </c>
      <c r="J11" s="8" t="s">
        <v>329</v>
      </c>
      <c r="K11" s="8"/>
      <c r="L11" s="20" t="n">
        <f aca="false">IF(G11=0,0,E11/G11)</f>
        <v>0.8</v>
      </c>
    </row>
    <row r="12" customFormat="false" ht="15" hidden="false" customHeight="false" outlineLevel="0" collapsed="false">
      <c r="A12" s="14" t="s">
        <v>912</v>
      </c>
      <c r="B12" s="43" t="s">
        <v>876</v>
      </c>
      <c r="C12" s="12" t="s">
        <v>913</v>
      </c>
      <c r="D12" s="14" t="s">
        <v>911</v>
      </c>
      <c r="E12" s="15" t="n">
        <v>700</v>
      </c>
      <c r="F12" s="15" t="n">
        <v>10</v>
      </c>
      <c r="G12" s="15" t="n">
        <v>450</v>
      </c>
      <c r="H12" s="15" t="n">
        <v>8</v>
      </c>
      <c r="I12" s="15" t="n">
        <v>0</v>
      </c>
      <c r="J12" s="12" t="s">
        <v>914</v>
      </c>
      <c r="K12" s="12"/>
      <c r="L12" s="24" t="n">
        <f aca="false">IF(G12=0,0,E12/G12)</f>
        <v>1.55555555555556</v>
      </c>
    </row>
    <row r="13" customFormat="false" ht="15" hidden="false" customHeight="false" outlineLevel="0" collapsed="false">
      <c r="A13" s="11" t="s">
        <v>915</v>
      </c>
      <c r="B13" s="42" t="s">
        <v>876</v>
      </c>
      <c r="C13" s="8" t="s">
        <v>916</v>
      </c>
      <c r="D13" s="11" t="s">
        <v>911</v>
      </c>
      <c r="E13" s="15" t="n">
        <v>600</v>
      </c>
      <c r="F13" s="15" t="n">
        <v>10</v>
      </c>
      <c r="G13" s="15" t="n">
        <v>400</v>
      </c>
      <c r="H13" s="15" t="n">
        <v>8</v>
      </c>
      <c r="I13" s="15" t="n">
        <v>0</v>
      </c>
      <c r="J13" s="8" t="s">
        <v>382</v>
      </c>
      <c r="K13" s="8"/>
      <c r="L13" s="20" t="n">
        <f aca="false">IF(G13=0,0,E13/G13)</f>
        <v>1.5</v>
      </c>
    </row>
    <row r="14" customFormat="false" ht="15" hidden="false" customHeight="false" outlineLevel="0" collapsed="false">
      <c r="A14" s="14" t="s">
        <v>917</v>
      </c>
      <c r="B14" s="22" t="s">
        <v>136</v>
      </c>
      <c r="C14" s="12" t="s">
        <v>918</v>
      </c>
      <c r="D14" s="14" t="s">
        <v>919</v>
      </c>
      <c r="E14" s="15" t="n">
        <v>1200</v>
      </c>
      <c r="F14" s="15" t="n">
        <v>14</v>
      </c>
      <c r="G14" s="15" t="n">
        <v>600</v>
      </c>
      <c r="H14" s="15" t="n">
        <v>15</v>
      </c>
      <c r="I14" s="15" t="n">
        <v>0</v>
      </c>
      <c r="J14" s="12" t="s">
        <v>920</v>
      </c>
      <c r="K14" s="12" t="s">
        <v>921</v>
      </c>
      <c r="L14" s="24" t="n">
        <f aca="false">IF(G14=0,0,E14/G14)</f>
        <v>2</v>
      </c>
    </row>
    <row r="15" customFormat="false" ht="15" hidden="false" customHeight="false" outlineLevel="0" collapsed="false">
      <c r="A15" s="11" t="s">
        <v>922</v>
      </c>
      <c r="B15" s="17" t="s">
        <v>136</v>
      </c>
      <c r="C15" s="8" t="s">
        <v>923</v>
      </c>
      <c r="D15" s="11" t="s">
        <v>924</v>
      </c>
      <c r="E15" s="15" t="n">
        <v>5000</v>
      </c>
      <c r="F15" s="15" t="n">
        <v>45</v>
      </c>
      <c r="G15" s="15" t="n">
        <v>1500</v>
      </c>
      <c r="H15" s="15" t="n">
        <v>50</v>
      </c>
      <c r="I15" s="15" t="n">
        <v>0</v>
      </c>
      <c r="J15" s="8" t="s">
        <v>925</v>
      </c>
      <c r="K15" s="8" t="s">
        <v>926</v>
      </c>
      <c r="L15" s="20" t="n">
        <f aca="false">IF(G15=0,0,E15/G15)</f>
        <v>3.33333333333333</v>
      </c>
    </row>
    <row r="16" customFormat="false" ht="15" hidden="false" customHeight="false" outlineLevel="0" collapsed="false">
      <c r="A16" s="14" t="s">
        <v>927</v>
      </c>
      <c r="B16" s="28" t="s">
        <v>368</v>
      </c>
      <c r="C16" s="12" t="s">
        <v>928</v>
      </c>
      <c r="D16" s="14" t="s">
        <v>911</v>
      </c>
      <c r="E16" s="15" t="n">
        <v>2200</v>
      </c>
      <c r="F16" s="15" t="n">
        <v>20</v>
      </c>
      <c r="G16" s="15" t="n">
        <v>700</v>
      </c>
      <c r="H16" s="15" t="n">
        <v>35</v>
      </c>
      <c r="I16" s="15" t="n">
        <v>0</v>
      </c>
      <c r="J16" s="12" t="s">
        <v>929</v>
      </c>
      <c r="K16" s="12" t="s">
        <v>930</v>
      </c>
      <c r="L16" s="24" t="n">
        <f aca="false">IF(G16=0,0,E16/G16)</f>
        <v>3.14285714285714</v>
      </c>
    </row>
    <row r="17" customFormat="false" ht="15" hidden="false" customHeight="false" outlineLevel="0" collapsed="false">
      <c r="A17" s="11" t="s">
        <v>931</v>
      </c>
      <c r="B17" s="27" t="s">
        <v>368</v>
      </c>
      <c r="C17" s="8" t="s">
        <v>932</v>
      </c>
      <c r="D17" s="11" t="s">
        <v>924</v>
      </c>
      <c r="E17" s="15" t="n">
        <v>5200</v>
      </c>
      <c r="F17" s="15" t="n">
        <v>45</v>
      </c>
      <c r="G17" s="15" t="n">
        <v>1500</v>
      </c>
      <c r="H17" s="15" t="n">
        <v>50</v>
      </c>
      <c r="I17" s="15" t="n">
        <v>0</v>
      </c>
      <c r="J17" s="8" t="s">
        <v>933</v>
      </c>
      <c r="K17" s="8"/>
      <c r="L17" s="20" t="n">
        <f aca="false">IF(G17=0,0,E17/G17)</f>
        <v>3.46666666666667</v>
      </c>
    </row>
    <row r="18" customFormat="false" ht="15" hidden="false" customHeight="false" outlineLevel="0" collapsed="false">
      <c r="A18" s="14" t="s">
        <v>934</v>
      </c>
      <c r="B18" s="29" t="s">
        <v>440</v>
      </c>
      <c r="C18" s="12" t="s">
        <v>935</v>
      </c>
      <c r="D18" s="14" t="s">
        <v>911</v>
      </c>
      <c r="E18" s="15" t="n">
        <v>2400</v>
      </c>
      <c r="F18" s="15" t="n">
        <v>22</v>
      </c>
      <c r="G18" s="15" t="n">
        <v>700</v>
      </c>
      <c r="H18" s="15" t="n">
        <v>35</v>
      </c>
      <c r="I18" s="15" t="n">
        <v>0</v>
      </c>
      <c r="J18" s="12" t="s">
        <v>936</v>
      </c>
      <c r="K18" s="12" t="s">
        <v>937</v>
      </c>
      <c r="L18" s="24" t="n">
        <f aca="false">IF(G18=0,0,E18/G18)</f>
        <v>3.42857142857143</v>
      </c>
    </row>
    <row r="19" customFormat="false" ht="15" hidden="false" customHeight="false" outlineLevel="0" collapsed="false">
      <c r="A19" s="11" t="s">
        <v>938</v>
      </c>
      <c r="B19" s="30" t="s">
        <v>440</v>
      </c>
      <c r="C19" s="8" t="s">
        <v>939</v>
      </c>
      <c r="D19" s="11" t="s">
        <v>924</v>
      </c>
      <c r="E19" s="15" t="n">
        <v>5000</v>
      </c>
      <c r="F19" s="15" t="n">
        <v>45</v>
      </c>
      <c r="G19" s="15" t="n">
        <v>1400</v>
      </c>
      <c r="H19" s="15" t="n">
        <v>50</v>
      </c>
      <c r="I19" s="15" t="n">
        <v>0</v>
      </c>
      <c r="J19" s="8" t="s">
        <v>940</v>
      </c>
      <c r="K19" s="8" t="s">
        <v>941</v>
      </c>
      <c r="L19" s="20" t="n">
        <f aca="false">IF(G19=0,0,E19/G19)</f>
        <v>3.57142857142857</v>
      </c>
    </row>
    <row r="20" customFormat="false" ht="15" hidden="false" customHeight="false" outlineLevel="0" collapsed="false">
      <c r="A20" s="14" t="s">
        <v>942</v>
      </c>
      <c r="B20" s="26" t="s">
        <v>281</v>
      </c>
      <c r="C20" s="12" t="s">
        <v>943</v>
      </c>
      <c r="D20" s="14" t="s">
        <v>911</v>
      </c>
      <c r="E20" s="15" t="n">
        <v>2600</v>
      </c>
      <c r="F20" s="15" t="n">
        <v>24</v>
      </c>
      <c r="G20" s="15" t="n">
        <v>800</v>
      </c>
      <c r="H20" s="15" t="n">
        <v>40</v>
      </c>
      <c r="I20" s="15" t="n">
        <v>0</v>
      </c>
      <c r="J20" s="12" t="s">
        <v>944</v>
      </c>
      <c r="K20" s="12" t="s">
        <v>945</v>
      </c>
      <c r="L20" s="24" t="n">
        <f aca="false">IF(G20=0,0,E20/G20)</f>
        <v>3.25</v>
      </c>
    </row>
    <row r="21" customFormat="false" ht="15" hidden="false" customHeight="false" outlineLevel="0" collapsed="false">
      <c r="A21" s="11" t="s">
        <v>946</v>
      </c>
      <c r="B21" s="25" t="s">
        <v>281</v>
      </c>
      <c r="C21" s="8" t="s">
        <v>947</v>
      </c>
      <c r="D21" s="11" t="s">
        <v>924</v>
      </c>
      <c r="E21" s="15" t="n">
        <v>4800</v>
      </c>
      <c r="F21" s="15" t="n">
        <v>40</v>
      </c>
      <c r="G21" s="15" t="n">
        <v>1400</v>
      </c>
      <c r="H21" s="15" t="n">
        <v>45</v>
      </c>
      <c r="I21" s="15" t="n">
        <v>0</v>
      </c>
      <c r="J21" s="8" t="s">
        <v>948</v>
      </c>
      <c r="K21" s="8" t="s">
        <v>949</v>
      </c>
      <c r="L21" s="20" t="n">
        <f aca="false">IF(G21=0,0,E21/G21)</f>
        <v>3.42857142857143</v>
      </c>
    </row>
    <row r="22" customFormat="false" ht="15" hidden="false" customHeight="false" outlineLevel="0" collapsed="false">
      <c r="A22" s="14" t="s">
        <v>950</v>
      </c>
      <c r="B22" s="32" t="s">
        <v>510</v>
      </c>
      <c r="C22" s="12" t="s">
        <v>951</v>
      </c>
      <c r="D22" s="14" t="s">
        <v>911</v>
      </c>
      <c r="E22" s="15" t="n">
        <v>1600</v>
      </c>
      <c r="F22" s="15" t="n">
        <v>16</v>
      </c>
      <c r="G22" s="15" t="n">
        <v>600</v>
      </c>
      <c r="H22" s="15" t="n">
        <v>25</v>
      </c>
      <c r="I22" s="15" t="n">
        <v>0</v>
      </c>
      <c r="J22" s="12" t="s">
        <v>827</v>
      </c>
      <c r="K22" s="12"/>
      <c r="L22" s="24" t="n">
        <f aca="false">IF(G22=0,0,E22/G22)</f>
        <v>2.66666666666667</v>
      </c>
    </row>
    <row r="23" customFormat="false" ht="15" hidden="false" customHeight="false" outlineLevel="0" collapsed="false">
      <c r="A23" s="11" t="s">
        <v>952</v>
      </c>
      <c r="B23" s="31" t="s">
        <v>510</v>
      </c>
      <c r="C23" s="8" t="s">
        <v>953</v>
      </c>
      <c r="D23" s="11" t="s">
        <v>911</v>
      </c>
      <c r="E23" s="15" t="n">
        <v>2300</v>
      </c>
      <c r="F23" s="15" t="n">
        <v>22</v>
      </c>
      <c r="G23" s="15" t="n">
        <v>750</v>
      </c>
      <c r="H23" s="15" t="n">
        <v>35</v>
      </c>
      <c r="I23" s="15" t="n">
        <v>0</v>
      </c>
      <c r="J23" s="8" t="s">
        <v>257</v>
      </c>
      <c r="K23" s="8" t="s">
        <v>954</v>
      </c>
      <c r="L23" s="20" t="n">
        <f aca="false">IF(G23=0,0,E23/G23)</f>
        <v>3.06666666666667</v>
      </c>
    </row>
    <row r="24" customFormat="false" ht="15" hidden="false" customHeight="false" outlineLevel="0" collapsed="false">
      <c r="A24" s="14" t="s">
        <v>955</v>
      </c>
      <c r="B24" s="32" t="s">
        <v>510</v>
      </c>
      <c r="C24" s="12" t="s">
        <v>956</v>
      </c>
      <c r="D24" s="14" t="s">
        <v>924</v>
      </c>
      <c r="E24" s="15" t="n">
        <v>4800</v>
      </c>
      <c r="F24" s="15" t="n">
        <v>42</v>
      </c>
      <c r="G24" s="15" t="n">
        <v>1400</v>
      </c>
      <c r="H24" s="15" t="n">
        <v>45</v>
      </c>
      <c r="I24" s="15" t="n">
        <v>0</v>
      </c>
      <c r="J24" s="12" t="s">
        <v>957</v>
      </c>
      <c r="K24" s="12"/>
      <c r="L24" s="24" t="n">
        <f aca="false">IF(G24=0,0,E24/G24)</f>
        <v>3.42857142857143</v>
      </c>
    </row>
    <row r="25" customFormat="false" ht="15" hidden="false" customHeight="false" outlineLevel="0" collapsed="false">
      <c r="A25" s="11" t="s">
        <v>958</v>
      </c>
      <c r="B25" s="33" t="s">
        <v>587</v>
      </c>
      <c r="C25" s="8" t="s">
        <v>959</v>
      </c>
      <c r="D25" s="11" t="s">
        <v>911</v>
      </c>
      <c r="E25" s="15" t="n">
        <v>2000</v>
      </c>
      <c r="F25" s="15" t="n">
        <v>18</v>
      </c>
      <c r="G25" s="15" t="n">
        <v>650</v>
      </c>
      <c r="H25" s="15" t="n">
        <v>30</v>
      </c>
      <c r="I25" s="15" t="n">
        <v>0</v>
      </c>
      <c r="J25" s="8" t="s">
        <v>960</v>
      </c>
      <c r="K25" s="8" t="s">
        <v>961</v>
      </c>
      <c r="L25" s="20" t="n">
        <f aca="false">IF(G25=0,0,E25/G25)</f>
        <v>3.07692307692308</v>
      </c>
    </row>
    <row r="26" customFormat="false" ht="15" hidden="false" customHeight="false" outlineLevel="0" collapsed="false">
      <c r="A26" s="14" t="s">
        <v>962</v>
      </c>
      <c r="B26" s="34" t="s">
        <v>587</v>
      </c>
      <c r="C26" s="12" t="s">
        <v>963</v>
      </c>
      <c r="D26" s="14" t="s">
        <v>911</v>
      </c>
      <c r="E26" s="15" t="n">
        <v>2400</v>
      </c>
      <c r="F26" s="15" t="n">
        <v>22</v>
      </c>
      <c r="G26" s="15" t="n">
        <v>700</v>
      </c>
      <c r="H26" s="15" t="n">
        <v>35</v>
      </c>
      <c r="I26" s="15" t="n">
        <v>0</v>
      </c>
      <c r="J26" s="12" t="s">
        <v>964</v>
      </c>
      <c r="K26" s="12"/>
      <c r="L26" s="24" t="n">
        <f aca="false">IF(G26=0,0,E26/G26)</f>
        <v>3.42857142857143</v>
      </c>
    </row>
    <row r="27" customFormat="false" ht="15" hidden="false" customHeight="false" outlineLevel="0" collapsed="false">
      <c r="A27" s="11" t="s">
        <v>965</v>
      </c>
      <c r="B27" s="33" t="s">
        <v>587</v>
      </c>
      <c r="C27" s="8" t="s">
        <v>966</v>
      </c>
      <c r="D27" s="11" t="s">
        <v>911</v>
      </c>
      <c r="E27" s="15" t="n">
        <v>2800</v>
      </c>
      <c r="F27" s="15" t="n">
        <v>26</v>
      </c>
      <c r="G27" s="15" t="n">
        <v>750</v>
      </c>
      <c r="H27" s="15" t="n">
        <v>40</v>
      </c>
      <c r="I27" s="15" t="n">
        <v>0</v>
      </c>
      <c r="J27" s="8" t="s">
        <v>967</v>
      </c>
      <c r="K27" s="8" t="s">
        <v>582</v>
      </c>
      <c r="L27" s="20" t="n">
        <f aca="false">IF(G27=0,0,E27/G27)</f>
        <v>3.73333333333333</v>
      </c>
    </row>
    <row r="28" customFormat="false" ht="15" hidden="false" customHeight="false" outlineLevel="0" collapsed="false">
      <c r="A28" s="14" t="s">
        <v>968</v>
      </c>
      <c r="B28" s="34" t="s">
        <v>587</v>
      </c>
      <c r="C28" s="12" t="s">
        <v>969</v>
      </c>
      <c r="D28" s="14" t="s">
        <v>924</v>
      </c>
      <c r="E28" s="15" t="n">
        <v>5400</v>
      </c>
      <c r="F28" s="15" t="n">
        <v>48</v>
      </c>
      <c r="G28" s="15" t="n">
        <v>1500</v>
      </c>
      <c r="H28" s="15" t="n">
        <v>55</v>
      </c>
      <c r="I28" s="15" t="n">
        <v>0</v>
      </c>
      <c r="J28" s="12" t="s">
        <v>970</v>
      </c>
      <c r="K28" s="12" t="s">
        <v>971</v>
      </c>
      <c r="L28" s="24" t="n">
        <f aca="false">IF(G28=0,0,E28/G28)</f>
        <v>3.6</v>
      </c>
    </row>
    <row r="29" customFormat="false" ht="15" hidden="false" customHeight="false" outlineLevel="0" collapsed="false">
      <c r="A29" s="11" t="s">
        <v>972</v>
      </c>
      <c r="B29" s="35" t="s">
        <v>654</v>
      </c>
      <c r="C29" s="8" t="s">
        <v>973</v>
      </c>
      <c r="D29" s="11" t="s">
        <v>911</v>
      </c>
      <c r="E29" s="15" t="n">
        <v>1500</v>
      </c>
      <c r="F29" s="15" t="n">
        <v>16</v>
      </c>
      <c r="G29" s="15" t="n">
        <v>600</v>
      </c>
      <c r="H29" s="15" t="n">
        <v>25</v>
      </c>
      <c r="I29" s="15" t="n">
        <v>0</v>
      </c>
      <c r="J29" s="8" t="s">
        <v>827</v>
      </c>
      <c r="K29" s="8"/>
      <c r="L29" s="20" t="n">
        <f aca="false">IF(G29=0,0,E29/G29)</f>
        <v>2.5</v>
      </c>
    </row>
    <row r="30" customFormat="false" ht="15" hidden="false" customHeight="false" outlineLevel="0" collapsed="false">
      <c r="A30" s="14" t="s">
        <v>974</v>
      </c>
      <c r="B30" s="36" t="s">
        <v>654</v>
      </c>
      <c r="C30" s="12" t="s">
        <v>975</v>
      </c>
      <c r="D30" s="14" t="s">
        <v>911</v>
      </c>
      <c r="E30" s="15" t="n">
        <v>2600</v>
      </c>
      <c r="F30" s="15" t="n">
        <v>24</v>
      </c>
      <c r="G30" s="15" t="n">
        <v>800</v>
      </c>
      <c r="H30" s="15" t="n">
        <v>40</v>
      </c>
      <c r="I30" s="15" t="n">
        <v>0</v>
      </c>
      <c r="J30" s="12" t="s">
        <v>944</v>
      </c>
      <c r="K30" s="12" t="s">
        <v>976</v>
      </c>
      <c r="L30" s="24" t="n">
        <f aca="false">IF(G30=0,0,E30/G30)</f>
        <v>3.25</v>
      </c>
    </row>
    <row r="31" customFormat="false" ht="15" hidden="false" customHeight="false" outlineLevel="0" collapsed="false">
      <c r="A31" s="11" t="s">
        <v>977</v>
      </c>
      <c r="B31" s="35" t="s">
        <v>654</v>
      </c>
      <c r="C31" s="8" t="s">
        <v>978</v>
      </c>
      <c r="D31" s="11" t="s">
        <v>919</v>
      </c>
      <c r="E31" s="15" t="n">
        <v>2000</v>
      </c>
      <c r="F31" s="15" t="n">
        <v>20</v>
      </c>
      <c r="G31" s="15" t="n">
        <v>600</v>
      </c>
      <c r="H31" s="15" t="n">
        <v>25</v>
      </c>
      <c r="I31" s="15" t="n">
        <v>0</v>
      </c>
      <c r="J31" s="8" t="s">
        <v>979</v>
      </c>
      <c r="K31" s="8" t="s">
        <v>980</v>
      </c>
      <c r="L31" s="20" t="n">
        <f aca="false">IF(G31=0,0,E31/G31)</f>
        <v>3.33333333333333</v>
      </c>
    </row>
    <row r="32" customFormat="false" ht="15" hidden="false" customHeight="false" outlineLevel="0" collapsed="false">
      <c r="A32" s="14" t="s">
        <v>981</v>
      </c>
      <c r="B32" s="36" t="s">
        <v>654</v>
      </c>
      <c r="C32" s="12" t="s">
        <v>982</v>
      </c>
      <c r="D32" s="14" t="s">
        <v>924</v>
      </c>
      <c r="E32" s="15" t="n">
        <v>5200</v>
      </c>
      <c r="F32" s="15" t="n">
        <v>46</v>
      </c>
      <c r="G32" s="15" t="n">
        <v>1500</v>
      </c>
      <c r="H32" s="15" t="n">
        <v>50</v>
      </c>
      <c r="I32" s="15" t="n">
        <v>0</v>
      </c>
      <c r="J32" s="12" t="s">
        <v>983</v>
      </c>
      <c r="K32" s="12"/>
      <c r="L32" s="24" t="n">
        <f aca="false">IF(G32=0,0,E32/G32)</f>
        <v>3.46666666666667</v>
      </c>
    </row>
    <row r="33" customFormat="false" ht="15" hidden="false" customHeight="false" outlineLevel="0" collapsed="false">
      <c r="A33" s="11" t="s">
        <v>984</v>
      </c>
      <c r="B33" s="38" t="s">
        <v>728</v>
      </c>
      <c r="C33" s="8" t="s">
        <v>985</v>
      </c>
      <c r="D33" s="11" t="s">
        <v>911</v>
      </c>
      <c r="E33" s="15" t="n">
        <v>2000</v>
      </c>
      <c r="F33" s="15" t="n">
        <v>20</v>
      </c>
      <c r="G33" s="15" t="n">
        <v>700</v>
      </c>
      <c r="H33" s="15" t="n">
        <v>30</v>
      </c>
      <c r="I33" s="15" t="n">
        <v>0</v>
      </c>
      <c r="J33" s="8" t="s">
        <v>986</v>
      </c>
      <c r="K33" s="8"/>
      <c r="L33" s="20" t="n">
        <f aca="false">IF(G33=0,0,E33/G33)</f>
        <v>2.85714285714286</v>
      </c>
    </row>
    <row r="34" customFormat="false" ht="15" hidden="false" customHeight="false" outlineLevel="0" collapsed="false">
      <c r="A34" s="14" t="s">
        <v>987</v>
      </c>
      <c r="B34" s="37" t="s">
        <v>728</v>
      </c>
      <c r="C34" s="12" t="s">
        <v>988</v>
      </c>
      <c r="D34" s="14" t="s">
        <v>924</v>
      </c>
      <c r="E34" s="15" t="n">
        <v>4800</v>
      </c>
      <c r="F34" s="15" t="n">
        <v>42</v>
      </c>
      <c r="G34" s="15" t="n">
        <v>1400</v>
      </c>
      <c r="H34" s="15" t="n">
        <v>45</v>
      </c>
      <c r="I34" s="15" t="n">
        <v>0</v>
      </c>
      <c r="J34" s="12" t="s">
        <v>989</v>
      </c>
      <c r="K34" s="12"/>
      <c r="L34" s="24" t="n">
        <f aca="false">IF(G34=0,0,E34/G34)</f>
        <v>3.42857142857143</v>
      </c>
    </row>
    <row r="35" customFormat="false" ht="15" hidden="false" customHeight="false" outlineLevel="0" collapsed="false">
      <c r="A35" s="11" t="s">
        <v>990</v>
      </c>
      <c r="B35" s="39" t="s">
        <v>789</v>
      </c>
      <c r="C35" s="8" t="s">
        <v>991</v>
      </c>
      <c r="D35" s="11" t="s">
        <v>919</v>
      </c>
      <c r="E35" s="15" t="n">
        <v>900</v>
      </c>
      <c r="F35" s="15" t="n">
        <v>10</v>
      </c>
      <c r="G35" s="15" t="n">
        <v>550</v>
      </c>
      <c r="H35" s="15" t="n">
        <v>20</v>
      </c>
      <c r="I35" s="15" t="n">
        <v>0</v>
      </c>
      <c r="J35" s="8" t="s">
        <v>992</v>
      </c>
      <c r="K35" s="8" t="s">
        <v>993</v>
      </c>
      <c r="L35" s="20" t="n">
        <f aca="false">IF(G35=0,0,E35/G35)</f>
        <v>1.63636363636364</v>
      </c>
    </row>
    <row r="36" customFormat="false" ht="15" hidden="false" customHeight="false" outlineLevel="0" collapsed="false">
      <c r="A36" s="14" t="s">
        <v>994</v>
      </c>
      <c r="B36" s="40" t="s">
        <v>789</v>
      </c>
      <c r="C36" s="12" t="s">
        <v>995</v>
      </c>
      <c r="D36" s="14" t="s">
        <v>911</v>
      </c>
      <c r="E36" s="15" t="n">
        <v>2100</v>
      </c>
      <c r="F36" s="15" t="n">
        <v>20</v>
      </c>
      <c r="G36" s="15" t="n">
        <v>700</v>
      </c>
      <c r="H36" s="15" t="n">
        <v>35</v>
      </c>
      <c r="I36" s="15" t="n">
        <v>0</v>
      </c>
      <c r="J36" s="12" t="s">
        <v>257</v>
      </c>
      <c r="K36" s="12" t="s">
        <v>996</v>
      </c>
      <c r="L36" s="24" t="n">
        <f aca="false">IF(G36=0,0,E36/G36)</f>
        <v>3</v>
      </c>
    </row>
    <row r="37" customFormat="false" ht="15" hidden="false" customHeight="false" outlineLevel="0" collapsed="false">
      <c r="A37" s="11" t="s">
        <v>997</v>
      </c>
      <c r="B37" s="39" t="s">
        <v>789</v>
      </c>
      <c r="C37" s="8" t="s">
        <v>998</v>
      </c>
      <c r="D37" s="11" t="s">
        <v>924</v>
      </c>
      <c r="E37" s="15" t="n">
        <v>4500</v>
      </c>
      <c r="F37" s="15" t="n">
        <v>38</v>
      </c>
      <c r="G37" s="15" t="n">
        <v>1300</v>
      </c>
      <c r="H37" s="15" t="n">
        <v>40</v>
      </c>
      <c r="I37" s="15" t="n">
        <v>0</v>
      </c>
      <c r="J37" s="8" t="s">
        <v>999</v>
      </c>
      <c r="K37" s="8" t="s">
        <v>1000</v>
      </c>
      <c r="L37" s="20" t="n">
        <f aca="false">IF(G37=0,0,E37/G37)</f>
        <v>3.46153846153846</v>
      </c>
    </row>
  </sheetData>
  <autoFilter ref="A2:L37"/>
  <mergeCells count="1">
    <mergeCell ref="A1:L1"/>
  </mergeCells>
  <printOptions headings="false" gridLines="false" gridLinesSet="true" horizontalCentered="false" verticalCentered="false"/>
  <pageMargins left="0.4" right="0.4" top="0.5" bottom="0.5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&amp;LASH-SHARQ  ·  Stat Sheet v0.2</oddHeader>
    <oddFooter>&amp;RConfidential  ·  Page &amp;P /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2E0E"/>
    <pageSetUpPr fitToPage="tru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2" min="2" style="0" width="12"/>
  </cols>
  <sheetData>
    <row r="1" customFormat="false" ht="21.75" hidden="false" customHeight="true" outlineLevel="0" collapsed="false">
      <c r="A1" s="6" t="s">
        <v>1001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21.75" hidden="false" customHeight="true" outlineLevel="0" collapsed="false">
      <c r="A2" s="44" t="s">
        <v>1002</v>
      </c>
      <c r="B2" s="7" t="s">
        <v>139</v>
      </c>
      <c r="C2" s="7" t="s">
        <v>1003</v>
      </c>
      <c r="D2" s="7" t="s">
        <v>1004</v>
      </c>
      <c r="E2" s="7" t="s">
        <v>144</v>
      </c>
      <c r="F2" s="7" t="s">
        <v>185</v>
      </c>
      <c r="G2" s="7" t="s">
        <v>1005</v>
      </c>
      <c r="H2" s="7" t="s">
        <v>354</v>
      </c>
      <c r="I2" s="7" t="s">
        <v>206</v>
      </c>
      <c r="J2" s="7" t="s">
        <v>559</v>
      </c>
      <c r="K2" s="7" t="s">
        <v>251</v>
      </c>
      <c r="L2" s="7" t="s">
        <v>261</v>
      </c>
    </row>
    <row r="3" customFormat="false" ht="15" hidden="false" customHeight="false" outlineLevel="0" collapsed="false">
      <c r="A3" s="7" t="s">
        <v>139</v>
      </c>
      <c r="B3" s="9" t="n">
        <v>1</v>
      </c>
      <c r="C3" s="9" t="n">
        <v>1.1</v>
      </c>
      <c r="D3" s="9" t="n">
        <v>1.1</v>
      </c>
      <c r="E3" s="9" t="n">
        <v>0.45</v>
      </c>
      <c r="F3" s="9" t="n">
        <v>0.2</v>
      </c>
      <c r="G3" s="9" t="n">
        <v>0.5</v>
      </c>
      <c r="H3" s="9" t="n">
        <v>0.1</v>
      </c>
      <c r="I3" s="9" t="n">
        <v>0.05</v>
      </c>
      <c r="J3" s="9" t="n">
        <v>0.15</v>
      </c>
      <c r="K3" s="9" t="n">
        <v>0.4</v>
      </c>
      <c r="L3" s="9" t="n">
        <v>0.1</v>
      </c>
    </row>
    <row r="4" customFormat="false" ht="15" hidden="false" customHeight="false" outlineLevel="0" collapsed="false">
      <c r="A4" s="7" t="s">
        <v>1003</v>
      </c>
      <c r="B4" s="9" t="n">
        <v>0.4</v>
      </c>
      <c r="C4" s="9" t="n">
        <v>0.5</v>
      </c>
      <c r="D4" s="9" t="n">
        <v>0.5</v>
      </c>
      <c r="E4" s="9" t="n">
        <v>1.1</v>
      </c>
      <c r="F4" s="9" t="n">
        <v>1.8</v>
      </c>
      <c r="G4" s="9" t="n">
        <v>0.7</v>
      </c>
      <c r="H4" s="9" t="n">
        <v>0.15</v>
      </c>
      <c r="I4" s="9" t="n">
        <v>0.05</v>
      </c>
      <c r="J4" s="9" t="n">
        <v>0.1</v>
      </c>
      <c r="K4" s="9" t="n">
        <v>0.6</v>
      </c>
      <c r="L4" s="9" t="n">
        <v>0.2</v>
      </c>
    </row>
    <row r="5" customFormat="false" ht="15" hidden="false" customHeight="false" outlineLevel="0" collapsed="false">
      <c r="A5" s="7" t="s">
        <v>1004</v>
      </c>
      <c r="B5" s="9" t="n">
        <v>0.3</v>
      </c>
      <c r="C5" s="9" t="n">
        <v>0.3</v>
      </c>
      <c r="D5" s="9" t="n">
        <v>0.3</v>
      </c>
      <c r="E5" s="9" t="n">
        <v>0.2</v>
      </c>
      <c r="F5" s="9" t="n">
        <v>0.1</v>
      </c>
      <c r="G5" s="9" t="n">
        <v>0.2</v>
      </c>
      <c r="H5" s="9" t="n">
        <v>1.6</v>
      </c>
      <c r="I5" s="9" t="n">
        <v>1.1</v>
      </c>
      <c r="J5" s="9" t="n">
        <v>1.4</v>
      </c>
      <c r="K5" s="9" t="n">
        <v>0.2</v>
      </c>
      <c r="L5" s="9" t="n">
        <v>0.4</v>
      </c>
    </row>
    <row r="6" customFormat="false" ht="15" hidden="false" customHeight="false" outlineLevel="0" collapsed="false">
      <c r="A6" s="7" t="s">
        <v>144</v>
      </c>
      <c r="B6" s="9" t="n">
        <v>1.5</v>
      </c>
      <c r="C6" s="9" t="n">
        <v>1.2</v>
      </c>
      <c r="D6" s="9" t="n">
        <v>1.2</v>
      </c>
      <c r="E6" s="9" t="n">
        <v>0.8</v>
      </c>
      <c r="F6" s="9" t="n">
        <v>0.45</v>
      </c>
      <c r="G6" s="9" t="n">
        <v>0.8</v>
      </c>
      <c r="H6" s="9" t="n">
        <v>0.25</v>
      </c>
      <c r="I6" s="9" t="n">
        <v>0.05</v>
      </c>
      <c r="J6" s="9" t="n">
        <v>0.2</v>
      </c>
      <c r="K6" s="9" t="n">
        <v>0.7</v>
      </c>
      <c r="L6" s="9" t="n">
        <v>0.2</v>
      </c>
    </row>
    <row r="7" customFormat="false" ht="15" hidden="false" customHeight="false" outlineLevel="0" collapsed="false">
      <c r="A7" s="7" t="s">
        <v>185</v>
      </c>
      <c r="B7" s="9" t="n">
        <v>1.3</v>
      </c>
      <c r="C7" s="9" t="n">
        <v>0.9</v>
      </c>
      <c r="D7" s="9" t="n">
        <v>0.9</v>
      </c>
      <c r="E7" s="9" t="n">
        <v>1.2</v>
      </c>
      <c r="F7" s="9" t="n">
        <v>1</v>
      </c>
      <c r="G7" s="9" t="n">
        <v>1.1</v>
      </c>
      <c r="H7" s="9" t="n">
        <v>0.2</v>
      </c>
      <c r="I7" s="9" t="n">
        <v>0.05</v>
      </c>
      <c r="J7" s="9" t="n">
        <v>0.15</v>
      </c>
      <c r="K7" s="9" t="n">
        <v>1</v>
      </c>
      <c r="L7" s="9" t="n">
        <v>0.3</v>
      </c>
    </row>
    <row r="8" customFormat="false" ht="15" hidden="false" customHeight="false" outlineLevel="0" collapsed="false">
      <c r="A8" s="7" t="s">
        <v>1005</v>
      </c>
      <c r="B8" s="9" t="n">
        <v>1.4</v>
      </c>
      <c r="C8" s="9" t="n">
        <v>1.5</v>
      </c>
      <c r="D8" s="9" t="n">
        <v>1.5</v>
      </c>
      <c r="E8" s="9" t="n">
        <v>1.1</v>
      </c>
      <c r="F8" s="9" t="n">
        <v>0.7</v>
      </c>
      <c r="G8" s="9" t="n">
        <v>0.8</v>
      </c>
      <c r="H8" s="9" t="n">
        <v>0.2</v>
      </c>
      <c r="I8" s="9" t="n">
        <v>0.05</v>
      </c>
      <c r="J8" s="9" t="n">
        <v>0.15</v>
      </c>
      <c r="K8" s="9" t="n">
        <v>1.3</v>
      </c>
      <c r="L8" s="9" t="n">
        <v>0.5</v>
      </c>
    </row>
    <row r="9" customFormat="false" ht="15" hidden="false" customHeight="false" outlineLevel="0" collapsed="false">
      <c r="A9" s="7" t="s">
        <v>354</v>
      </c>
      <c r="B9" s="9" t="n">
        <v>0.8</v>
      </c>
      <c r="C9" s="9" t="n">
        <v>1.2</v>
      </c>
      <c r="D9" s="9" t="n">
        <v>1</v>
      </c>
      <c r="E9" s="9" t="n">
        <v>1.1</v>
      </c>
      <c r="F9" s="9" t="n">
        <v>1.35</v>
      </c>
      <c r="G9" s="9" t="n">
        <v>1.4</v>
      </c>
      <c r="H9" s="9" t="n">
        <v>0.4</v>
      </c>
      <c r="I9" s="9" t="n">
        <v>0.15</v>
      </c>
      <c r="J9" s="9" t="n">
        <v>0.5</v>
      </c>
      <c r="K9" s="9" t="n">
        <v>0.9</v>
      </c>
      <c r="L9" s="9" t="n">
        <v>0.7</v>
      </c>
    </row>
    <row r="10" customFormat="false" ht="15" hidden="false" customHeight="false" outlineLevel="0" collapsed="false">
      <c r="A10" s="7" t="s">
        <v>206</v>
      </c>
      <c r="B10" s="9" t="n">
        <v>0.5</v>
      </c>
      <c r="C10" s="9" t="n">
        <v>0.6</v>
      </c>
      <c r="D10" s="9" t="n">
        <v>0.5</v>
      </c>
      <c r="E10" s="9" t="n">
        <v>0.7</v>
      </c>
      <c r="F10" s="9" t="n">
        <v>0.8</v>
      </c>
      <c r="G10" s="9" t="n">
        <v>1.2</v>
      </c>
      <c r="H10" s="9" t="n">
        <v>1.5</v>
      </c>
      <c r="I10" s="9" t="n">
        <v>1</v>
      </c>
      <c r="J10" s="9" t="n">
        <v>1.6</v>
      </c>
      <c r="K10" s="9" t="n">
        <v>0.7</v>
      </c>
      <c r="L10" s="9" t="n">
        <v>1.1</v>
      </c>
    </row>
    <row r="11" customFormat="false" ht="15" hidden="false" customHeight="false" outlineLevel="0" collapsed="false">
      <c r="A11" s="7" t="s">
        <v>559</v>
      </c>
      <c r="B11" s="9" t="n">
        <v>0.4</v>
      </c>
      <c r="C11" s="9" t="n">
        <v>0.5</v>
      </c>
      <c r="D11" s="9" t="n">
        <v>0.4</v>
      </c>
      <c r="E11" s="9" t="n">
        <v>0.6</v>
      </c>
      <c r="F11" s="9" t="n">
        <v>0.7</v>
      </c>
      <c r="G11" s="9" t="n">
        <v>0.8</v>
      </c>
      <c r="H11" s="9" t="n">
        <v>0.2</v>
      </c>
      <c r="I11" s="9" t="n">
        <v>0.1</v>
      </c>
      <c r="J11" s="9" t="n">
        <v>0.3</v>
      </c>
      <c r="K11" s="9" t="n">
        <v>0.5</v>
      </c>
      <c r="L11" s="9" t="n">
        <v>0.5</v>
      </c>
    </row>
    <row r="12" customFormat="false" ht="15" hidden="false" customHeight="false" outlineLevel="0" collapsed="false">
      <c r="A12" s="7" t="s">
        <v>251</v>
      </c>
      <c r="B12" s="9" t="n">
        <v>0.1</v>
      </c>
      <c r="C12" s="9" t="n">
        <v>0.1</v>
      </c>
      <c r="D12" s="9" t="n">
        <v>0.1</v>
      </c>
      <c r="E12" s="9" t="n">
        <v>0.15</v>
      </c>
      <c r="F12" s="9" t="n">
        <v>0.1</v>
      </c>
      <c r="G12" s="9" t="n">
        <v>0.15</v>
      </c>
      <c r="H12" s="9" t="n">
        <v>1.7</v>
      </c>
      <c r="I12" s="9" t="n">
        <v>1.4</v>
      </c>
      <c r="J12" s="9" t="n">
        <v>1.8</v>
      </c>
      <c r="K12" s="9" t="n">
        <v>0.2</v>
      </c>
      <c r="L12" s="9" t="n">
        <v>0.8</v>
      </c>
    </row>
    <row r="13" customFormat="false" ht="15" hidden="false" customHeight="false" outlineLevel="0" collapsed="false">
      <c r="A13" s="7" t="s">
        <v>261</v>
      </c>
      <c r="B13" s="9" t="n">
        <v>0.4</v>
      </c>
      <c r="C13" s="9" t="n">
        <v>0.4</v>
      </c>
      <c r="D13" s="9" t="n">
        <v>0.4</v>
      </c>
      <c r="E13" s="9" t="n">
        <v>0.5</v>
      </c>
      <c r="F13" s="9" t="n">
        <v>0.4</v>
      </c>
      <c r="G13" s="9" t="n">
        <v>0.6</v>
      </c>
      <c r="H13" s="9" t="n">
        <v>0.5</v>
      </c>
      <c r="I13" s="9" t="n">
        <v>0.4</v>
      </c>
      <c r="J13" s="9" t="n">
        <v>0.4</v>
      </c>
      <c r="K13" s="9" t="n">
        <v>0.5</v>
      </c>
      <c r="L13" s="9" t="n">
        <v>1</v>
      </c>
    </row>
    <row r="15" customFormat="false" ht="15" hidden="false" customHeight="false" outlineLevel="0" collapsed="false">
      <c r="A15" s="2" t="s">
        <v>1006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7" customFormat="false" ht="15" hidden="false" customHeight="false" outlineLevel="0" collapsed="false">
      <c r="A17" s="45" t="s">
        <v>1007</v>
      </c>
      <c r="B17" s="45"/>
      <c r="C17" s="45"/>
    </row>
    <row r="18" customFormat="false" ht="15" hidden="false" customHeight="false" outlineLevel="0" collapsed="false">
      <c r="A18" s="0" t="s">
        <v>1008</v>
      </c>
      <c r="B18" s="46" t="n">
        <f aca="false">ATGMVsArmor</f>
        <v>1.8</v>
      </c>
    </row>
    <row r="19" customFormat="false" ht="15" hidden="false" customHeight="false" outlineLevel="0" collapsed="false">
      <c r="A19" s="0" t="s">
        <v>1009</v>
      </c>
      <c r="B19" s="46" t="n">
        <f aca="false">AirVsArmor</f>
        <v>1.35</v>
      </c>
    </row>
    <row r="20" customFormat="false" ht="15" hidden="false" customHeight="false" outlineLevel="0" collapsed="false">
      <c r="A20" s="0" t="s">
        <v>1010</v>
      </c>
      <c r="B20" s="46" t="n">
        <f aca="false">ArtyVsBuilding</f>
        <v>2.2</v>
      </c>
    </row>
  </sheetData>
  <mergeCells count="3">
    <mergeCell ref="A1:L1"/>
    <mergeCell ref="A15:L15"/>
    <mergeCell ref="A17:C17"/>
  </mergeCells>
  <conditionalFormatting sqref="B3:L13">
    <cfRule type="colorScale" priority="2">
      <colorScale>
        <cfvo type="num" val="0.05"/>
        <cfvo type="num" val="1"/>
        <cfvo type="num" val="1.8"/>
        <color rgb="FFFFCDD2"/>
        <color rgb="FFFFF9C4"/>
        <color rgb="FFA5D6A7"/>
      </colorScale>
    </cfRule>
  </conditionalFormatting>
  <printOptions headings="false" gridLines="false" gridLinesSet="true" horizontalCentered="false" verticalCentered="false"/>
  <pageMargins left="0.4" right="0.4" top="0.5" bottom="0.5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&amp;LASH-SHARQ  ·  Stat Sheet v0.2</oddHeader>
    <oddFooter>&amp;RConfidential  ·  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tru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28"/>
    <col collapsed="false" customWidth="true" hidden="false" outlineLevel="0" max="10" min="10" style="0" width="14"/>
    <col collapsed="false" customWidth="true" hidden="false" outlineLevel="0" max="11" min="11" style="0" width="16"/>
  </cols>
  <sheetData>
    <row r="1" customFormat="false" ht="19.5" hidden="false" customHeight="true" outlineLevel="0" collapsed="false">
      <c r="A1" s="6" t="s">
        <v>1011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customFormat="false" ht="15" hidden="false" customHeight="false" outlineLevel="0" collapsed="false">
      <c r="A2" s="7" t="s">
        <v>108</v>
      </c>
      <c r="B2" s="7" t="s">
        <v>1012</v>
      </c>
      <c r="C2" s="7" t="s">
        <v>1013</v>
      </c>
      <c r="D2" s="7" t="s">
        <v>1014</v>
      </c>
      <c r="E2" s="7" t="s">
        <v>1015</v>
      </c>
      <c r="F2" s="7" t="s">
        <v>1016</v>
      </c>
      <c r="G2" s="7" t="s">
        <v>1017</v>
      </c>
      <c r="H2" s="7" t="s">
        <v>1018</v>
      </c>
      <c r="I2" s="7" t="s">
        <v>1019</v>
      </c>
      <c r="J2" s="7" t="s">
        <v>1020</v>
      </c>
      <c r="K2" s="7" t="s">
        <v>1021</v>
      </c>
    </row>
    <row r="3" customFormat="false" ht="15" hidden="false" customHeight="false" outlineLevel="0" collapsed="false">
      <c r="A3" s="47" t="s">
        <v>136</v>
      </c>
      <c r="B3" s="48" t="str">
        <f aca="false">IF(COUNTIFS(02_UNITS!$B$3:$B$161,A3,02_UNITS!$C$3:$C$161,"WAVE0")&gt;0,"WAVE0+",IF(COUNTIFS(02_UNITS!$B$3:$B$161,A3,02_UNITS!$C$3:$C$161,"WAVE1")&gt;0,"WAVE1",IF(COUNTIFS(02_UNITS!$B$3:$B$161,A3,02_UNITS!$C$3:$C$161,"WAVE2")&gt;0,"WAVE2","WAVE3")))</f>
        <v>WAVE0+</v>
      </c>
      <c r="C3" s="48" t="n">
        <f aca="false">COUNTIF(02_UNITS!$B$3:$B$161,A3)</f>
        <v>20</v>
      </c>
      <c r="D3" s="49" t="n">
        <f aca="false">AVERAGEIF(02_UNITS!$B$3:$B$161,A3,02_UNITS!$H$3:$H$161)</f>
        <v>1232.5</v>
      </c>
      <c r="E3" s="49" t="n">
        <f aca="false">AVERAGEIF(02_UNITS!$B$3:$B$161,A3,02_UNITS!$J$3:$J$161)</f>
        <v>472.5</v>
      </c>
      <c r="F3" s="50" t="n">
        <f aca="false">AVERAGEIF(02_UNITS!$B$3:$B$161,A3,02_UNITS!$Z$3:$Z$161)</f>
        <v>14.781461038961</v>
      </c>
      <c r="G3" s="50" t="n">
        <f aca="false">AVERAGEIF(02_UNITS!$B$3:$B$161,A3,02_UNITS!$AA$3:$AA$161)</f>
        <v>6.45076659451659</v>
      </c>
      <c r="H3" s="50" t="n">
        <f aca="false">AVERAGEIF(02_UNITS!$B$3:$B$161,A3,02_UNITS!$AD$3:$AD$161)</f>
        <v>234.493953723943</v>
      </c>
      <c r="I3" s="48" t="s">
        <v>1022</v>
      </c>
      <c r="J3" s="51" t="n">
        <v>1550</v>
      </c>
      <c r="K3" s="51" t="n">
        <v>1500</v>
      </c>
    </row>
    <row r="4" customFormat="false" ht="15" hidden="false" customHeight="false" outlineLevel="0" collapsed="false">
      <c r="A4" s="52" t="s">
        <v>368</v>
      </c>
      <c r="B4" s="53" t="str">
        <f aca="false">IF(COUNTIFS(02_UNITS!$B$3:$B$161,A4,02_UNITS!$C$3:$C$161,"WAVE0")&gt;0,"WAVE0+",IF(COUNTIFS(02_UNITS!$B$3:$B$161,A4,02_UNITS!$C$3:$C$161,"WAVE1")&gt;0,"WAVE1",IF(COUNTIFS(02_UNITS!$B$3:$B$161,A4,02_UNITS!$C$3:$C$161,"WAVE2")&gt;0,"WAVE2","WAVE3")))</f>
        <v>WAVE1</v>
      </c>
      <c r="C4" s="53" t="n">
        <f aca="false">COUNTIF(02_UNITS!$B$3:$B$161,A4)</f>
        <v>15</v>
      </c>
      <c r="D4" s="54" t="n">
        <f aca="false">AVERAGEIF(02_UNITS!$B$3:$B$161,A4,02_UNITS!$H$3:$H$161)</f>
        <v>1136.66666666667</v>
      </c>
      <c r="E4" s="54" t="n">
        <f aca="false">AVERAGEIF(02_UNITS!$B$3:$B$161,A4,02_UNITS!$J$3:$J$161)</f>
        <v>381.333333333333</v>
      </c>
      <c r="F4" s="55" t="n">
        <f aca="false">AVERAGEIF(02_UNITS!$B$3:$B$161,A4,02_UNITS!$Z$3:$Z$161)</f>
        <v>14.9029462934726</v>
      </c>
      <c r="G4" s="55" t="n">
        <f aca="false">AVERAGEIF(02_UNITS!$B$3:$B$161,A4,02_UNITS!$AA$3:$AA$161)</f>
        <v>6.64881697250118</v>
      </c>
      <c r="H4" s="55" t="n">
        <f aca="false">AVERAGEIF(02_UNITS!$B$3:$B$161,A4,02_UNITS!$AD$3:$AD$161)</f>
        <v>246.535190978388</v>
      </c>
      <c r="I4" s="53" t="s">
        <v>1023</v>
      </c>
      <c r="J4" s="56" t="n">
        <v>1800</v>
      </c>
      <c r="K4" s="56" t="n">
        <v>1900</v>
      </c>
    </row>
    <row r="5" customFormat="false" ht="15" hidden="false" customHeight="false" outlineLevel="0" collapsed="false">
      <c r="A5" s="57" t="s">
        <v>440</v>
      </c>
      <c r="B5" s="48" t="str">
        <f aca="false">IF(COUNTIFS(02_UNITS!$B$3:$B$161,A5,02_UNITS!$C$3:$C$161,"WAVE0")&gt;0,"WAVE0+",IF(COUNTIFS(02_UNITS!$B$3:$B$161,A5,02_UNITS!$C$3:$C$161,"WAVE1")&gt;0,"WAVE1",IF(COUNTIFS(02_UNITS!$B$3:$B$161,A5,02_UNITS!$C$3:$C$161,"WAVE2")&gt;0,"WAVE2","WAVE3")))</f>
        <v>WAVE1</v>
      </c>
      <c r="C5" s="48" t="n">
        <f aca="false">COUNTIF(02_UNITS!$B$3:$B$161,A5)</f>
        <v>15</v>
      </c>
      <c r="D5" s="49" t="n">
        <f aca="false">AVERAGEIF(02_UNITS!$B$3:$B$161,A5,02_UNITS!$H$3:$H$161)</f>
        <v>1262</v>
      </c>
      <c r="E5" s="49" t="n">
        <f aca="false">AVERAGEIF(02_UNITS!$B$3:$B$161,A5,02_UNITS!$J$3:$J$161)</f>
        <v>404.666666666667</v>
      </c>
      <c r="F5" s="50" t="n">
        <f aca="false">AVERAGEIF(02_UNITS!$B$3:$B$161,A5,02_UNITS!$Z$3:$Z$161)</f>
        <v>15.8438972914779</v>
      </c>
      <c r="G5" s="50" t="n">
        <f aca="false">AVERAGEIF(02_UNITS!$B$3:$B$161,A5,02_UNITS!$AA$3:$AA$161)</f>
        <v>6.9968478146704</v>
      </c>
      <c r="H5" s="50" t="n">
        <f aca="false">AVERAGEIF(02_UNITS!$B$3:$B$161,A5,02_UNITS!$AD$3:$AD$161)</f>
        <v>244.082837047537</v>
      </c>
      <c r="I5" s="48" t="s">
        <v>1024</v>
      </c>
      <c r="J5" s="51" t="n">
        <v>1700</v>
      </c>
      <c r="K5" s="51" t="n">
        <v>1450</v>
      </c>
    </row>
    <row r="6" customFormat="false" ht="15" hidden="false" customHeight="false" outlineLevel="0" collapsed="false">
      <c r="A6" s="58" t="s">
        <v>281</v>
      </c>
      <c r="B6" s="53" t="str">
        <f aca="false">IF(COUNTIFS(02_UNITS!$B$3:$B$161,A6,02_UNITS!$C$3:$C$161,"WAVE0")&gt;0,"WAVE0+",IF(COUNTIFS(02_UNITS!$B$3:$B$161,A6,02_UNITS!$C$3:$C$161,"WAVE1")&gt;0,"WAVE1",IF(COUNTIFS(02_UNITS!$B$3:$B$161,A6,02_UNITS!$C$3:$C$161,"WAVE2")&gt;0,"WAVE2","WAVE3")))</f>
        <v>WAVE0+</v>
      </c>
      <c r="C6" s="53" t="n">
        <f aca="false">COUNTIF(02_UNITS!$B$3:$B$161,A6)</f>
        <v>18</v>
      </c>
      <c r="D6" s="54" t="n">
        <f aca="false">AVERAGEIF(02_UNITS!$B$3:$B$161,A6,02_UNITS!$H$3:$H$161)</f>
        <v>1176.66666666667</v>
      </c>
      <c r="E6" s="54" t="n">
        <f aca="false">AVERAGEIF(02_UNITS!$B$3:$B$161,A6,02_UNITS!$J$3:$J$161)</f>
        <v>432.5</v>
      </c>
      <c r="F6" s="55" t="n">
        <f aca="false">AVERAGEIF(02_UNITS!$B$3:$B$161,A6,02_UNITS!$Z$3:$Z$161)</f>
        <v>12.5010021714732</v>
      </c>
      <c r="G6" s="55" t="n">
        <f aca="false">AVERAGEIF(02_UNITS!$B$3:$B$161,A6,02_UNITS!$AA$3:$AA$161)</f>
        <v>7.44437368857659</v>
      </c>
      <c r="H6" s="55" t="n">
        <f aca="false">AVERAGEIF(02_UNITS!$B$3:$B$161,A6,02_UNITS!$AD$3:$AD$161)</f>
        <v>237.457985385852</v>
      </c>
      <c r="I6" s="53" t="s">
        <v>1025</v>
      </c>
      <c r="J6" s="56" t="n">
        <v>1500</v>
      </c>
      <c r="K6" s="56" t="n">
        <v>1400</v>
      </c>
    </row>
    <row r="7" customFormat="false" ht="15" hidden="false" customHeight="false" outlineLevel="0" collapsed="false">
      <c r="A7" s="59" t="s">
        <v>510</v>
      </c>
      <c r="B7" s="48" t="str">
        <f aca="false">IF(COUNTIFS(02_UNITS!$B$3:$B$161,A7,02_UNITS!$C$3:$C$161,"WAVE0")&gt;0,"WAVE0+",IF(COUNTIFS(02_UNITS!$B$3:$B$161,A7,02_UNITS!$C$3:$C$161,"WAVE1")&gt;0,"WAVE1",IF(COUNTIFS(02_UNITS!$B$3:$B$161,A7,02_UNITS!$C$3:$C$161,"WAVE2")&gt;0,"WAVE2","WAVE3")))</f>
        <v>WAVE2</v>
      </c>
      <c r="C7" s="48" t="n">
        <f aca="false">COUNTIF(02_UNITS!$B$3:$B$161,A7)</f>
        <v>18</v>
      </c>
      <c r="D7" s="49" t="n">
        <f aca="false">AVERAGEIF(02_UNITS!$B$3:$B$161,A7,02_UNITS!$H$3:$H$161)</f>
        <v>1126.38888888889</v>
      </c>
      <c r="E7" s="49" t="n">
        <f aca="false">AVERAGEIF(02_UNITS!$B$3:$B$161,A7,02_UNITS!$J$3:$J$161)</f>
        <v>437.611111111111</v>
      </c>
      <c r="F7" s="50" t="n">
        <f aca="false">AVERAGEIF(02_UNITS!$B$3:$B$161,A7,02_UNITS!$Z$3:$Z$161)</f>
        <v>14.6285417171507</v>
      </c>
      <c r="G7" s="50" t="n">
        <f aca="false">AVERAGEIF(02_UNITS!$B$3:$B$161,A7,02_UNITS!$AA$3:$AA$161)</f>
        <v>7.44171672702152</v>
      </c>
      <c r="H7" s="50" t="n">
        <f aca="false">AVERAGEIF(02_UNITS!$B$3:$B$161,A7,02_UNITS!$AD$3:$AD$161)</f>
        <v>243.332229632868</v>
      </c>
      <c r="I7" s="48" t="s">
        <v>1026</v>
      </c>
      <c r="J7" s="51" t="n">
        <v>1550</v>
      </c>
      <c r="K7" s="51" t="n">
        <v>1650</v>
      </c>
    </row>
    <row r="8" customFormat="false" ht="15" hidden="false" customHeight="false" outlineLevel="0" collapsed="false">
      <c r="A8" s="60" t="s">
        <v>587</v>
      </c>
      <c r="B8" s="53" t="str">
        <f aca="false">IF(COUNTIFS(02_UNITS!$B$3:$B$161,A8,02_UNITS!$C$3:$C$161,"WAVE0")&gt;0,"WAVE0+",IF(COUNTIFS(02_UNITS!$B$3:$B$161,A8,02_UNITS!$C$3:$C$161,"WAVE1")&gt;0,"WAVE1",IF(COUNTIFS(02_UNITS!$B$3:$B$161,A8,02_UNITS!$C$3:$C$161,"WAVE2")&gt;0,"WAVE2","WAVE3")))</f>
        <v>WAVE3</v>
      </c>
      <c r="C8" s="53" t="n">
        <f aca="false">COUNTIF(02_UNITS!$B$3:$B$161,A8)</f>
        <v>16</v>
      </c>
      <c r="D8" s="54" t="n">
        <f aca="false">AVERAGEIF(02_UNITS!$B$3:$B$161,A8,02_UNITS!$H$3:$H$161)</f>
        <v>1307.5</v>
      </c>
      <c r="E8" s="54" t="n">
        <f aca="false">AVERAGEIF(02_UNITS!$B$3:$B$161,A8,02_UNITS!$J$3:$J$161)</f>
        <v>467.5</v>
      </c>
      <c r="F8" s="55" t="n">
        <f aca="false">AVERAGEIF(02_UNITS!$B$3:$B$161,A8,02_UNITS!$Z$3:$Z$161)</f>
        <v>15.8966713279783</v>
      </c>
      <c r="G8" s="55" t="n">
        <f aca="false">AVERAGEIF(02_UNITS!$B$3:$B$161,A8,02_UNITS!$AA$3:$AA$161)</f>
        <v>6.51171116382959</v>
      </c>
      <c r="H8" s="55" t="n">
        <f aca="false">AVERAGEIF(02_UNITS!$B$3:$B$161,A8,02_UNITS!$AD$3:$AD$161)</f>
        <v>227.979885217118</v>
      </c>
      <c r="I8" s="53" t="s">
        <v>1027</v>
      </c>
      <c r="J8" s="56" t="n">
        <v>1850</v>
      </c>
      <c r="K8" s="56" t="n">
        <v>1750</v>
      </c>
    </row>
    <row r="9" customFormat="false" ht="15" hidden="false" customHeight="false" outlineLevel="0" collapsed="false">
      <c r="A9" s="61" t="s">
        <v>654</v>
      </c>
      <c r="B9" s="48" t="str">
        <f aca="false">IF(COUNTIFS(02_UNITS!$B$3:$B$161,A9,02_UNITS!$C$3:$C$161,"WAVE0")&gt;0,"WAVE0+",IF(COUNTIFS(02_UNITS!$B$3:$B$161,A9,02_UNITS!$C$3:$C$161,"WAVE1")&gt;0,"WAVE1",IF(COUNTIFS(02_UNITS!$B$3:$B$161,A9,02_UNITS!$C$3:$C$161,"WAVE2")&gt;0,"WAVE2","WAVE3")))</f>
        <v>WAVE3</v>
      </c>
      <c r="C9" s="48" t="n">
        <f aca="false">COUNTIF(02_UNITS!$B$3:$B$161,A9)</f>
        <v>19</v>
      </c>
      <c r="D9" s="49" t="n">
        <f aca="false">AVERAGEIF(02_UNITS!$B$3:$B$161,A9,02_UNITS!$H$3:$H$161)</f>
        <v>1536.31578947368</v>
      </c>
      <c r="E9" s="49" t="n">
        <f aca="false">AVERAGEIF(02_UNITS!$B$3:$B$161,A9,02_UNITS!$J$3:$J$161)</f>
        <v>564.21052631579</v>
      </c>
      <c r="F9" s="50" t="n">
        <f aca="false">AVERAGEIF(02_UNITS!$B$3:$B$161,A9,02_UNITS!$Z$3:$Z$161)</f>
        <v>15.6695739291072</v>
      </c>
      <c r="G9" s="50" t="n">
        <f aca="false">AVERAGEIF(02_UNITS!$B$3:$B$161,A9,02_UNITS!$AA$3:$AA$161)</f>
        <v>5.8582839957769</v>
      </c>
      <c r="H9" s="50" t="n">
        <f aca="false">AVERAGEIF(02_UNITS!$B$3:$B$161,A9,02_UNITS!$AD$3:$AD$161)</f>
        <v>216.006466089626</v>
      </c>
      <c r="I9" s="48" t="s">
        <v>1028</v>
      </c>
      <c r="J9" s="51" t="n">
        <v>1520</v>
      </c>
      <c r="K9" s="51" t="n">
        <v>1450</v>
      </c>
    </row>
    <row r="10" customFormat="false" ht="15" hidden="false" customHeight="false" outlineLevel="0" collapsed="false">
      <c r="A10" s="62" t="s">
        <v>728</v>
      </c>
      <c r="B10" s="53" t="str">
        <f aca="false">IF(COUNTIFS(02_UNITS!$B$3:$B$161,A10,02_UNITS!$C$3:$C$161,"WAVE0")&gt;0,"WAVE0+",IF(COUNTIFS(02_UNITS!$B$3:$B$161,A10,02_UNITS!$C$3:$C$161,"WAVE1")&gt;0,"WAVE1",IF(COUNTIFS(02_UNITS!$B$3:$B$161,A10,02_UNITS!$C$3:$C$161,"WAVE2")&gt;0,"WAVE2","WAVE3")))</f>
        <v>WAVE3</v>
      </c>
      <c r="C10" s="53" t="n">
        <f aca="false">COUNTIF(02_UNITS!$B$3:$B$161,A10)</f>
        <v>19</v>
      </c>
      <c r="D10" s="54" t="n">
        <f aca="false">AVERAGEIF(02_UNITS!$B$3:$B$161,A10,02_UNITS!$H$3:$H$161)</f>
        <v>1221.84210526316</v>
      </c>
      <c r="E10" s="54" t="n">
        <f aca="false">AVERAGEIF(02_UNITS!$B$3:$B$161,A10,02_UNITS!$J$3:$J$161)</f>
        <v>441.052631578947</v>
      </c>
      <c r="F10" s="55" t="n">
        <f aca="false">AVERAGEIF(02_UNITS!$B$3:$B$161,A10,02_UNITS!$Z$3:$Z$161)</f>
        <v>14.6469708006405</v>
      </c>
      <c r="G10" s="55" t="n">
        <f aca="false">AVERAGEIF(02_UNITS!$B$3:$B$161,A10,02_UNITS!$AA$3:$AA$161)</f>
        <v>5.08842076447737</v>
      </c>
      <c r="H10" s="55" t="n">
        <f aca="false">AVERAGEIF(02_UNITS!$B$3:$B$161,A10,02_UNITS!$AD$3:$AD$161)</f>
        <v>222.147114944723</v>
      </c>
      <c r="I10" s="53" t="s">
        <v>1029</v>
      </c>
      <c r="J10" s="56" t="n">
        <v>1300</v>
      </c>
      <c r="K10" s="56" t="n">
        <v>1350</v>
      </c>
    </row>
    <row r="11" customFormat="false" ht="15" hidden="false" customHeight="false" outlineLevel="0" collapsed="false">
      <c r="A11" s="63" t="s">
        <v>789</v>
      </c>
      <c r="B11" s="48" t="str">
        <f aca="false">IF(COUNTIFS(02_UNITS!$B$3:$B$161,A11,02_UNITS!$C$3:$C$161,"WAVE0")&gt;0,"WAVE0+",IF(COUNTIFS(02_UNITS!$B$3:$B$161,A11,02_UNITS!$C$3:$C$161,"WAVE1")&gt;0,"WAVE1",IF(COUNTIFS(02_UNITS!$B$3:$B$161,A11,02_UNITS!$C$3:$C$161,"WAVE2")&gt;0,"WAVE2","WAVE3")))</f>
        <v>WAVE2</v>
      </c>
      <c r="C11" s="48" t="n">
        <f aca="false">COUNTIF(02_UNITS!$B$3:$B$161,A11)</f>
        <v>19</v>
      </c>
      <c r="D11" s="49" t="n">
        <f aca="false">AVERAGEIF(02_UNITS!$B$3:$B$161,A11,02_UNITS!$H$3:$H$161)</f>
        <v>858.421052631579</v>
      </c>
      <c r="E11" s="49" t="n">
        <f aca="false">AVERAGEIF(02_UNITS!$B$3:$B$161,A11,02_UNITS!$J$3:$J$161)</f>
        <v>287.368421052632</v>
      </c>
      <c r="F11" s="50" t="n">
        <f aca="false">AVERAGEIF(02_UNITS!$B$3:$B$161,A11,02_UNITS!$Z$3:$Z$161)</f>
        <v>7.93482961453079</v>
      </c>
      <c r="G11" s="50" t="n">
        <f aca="false">AVERAGEIF(02_UNITS!$B$3:$B$161,A11,02_UNITS!$AA$3:$AA$161)</f>
        <v>4.54773015232027</v>
      </c>
      <c r="H11" s="50" t="n">
        <f aca="false">AVERAGEIF(02_UNITS!$B$3:$B$161,A11,02_UNITS!$AD$3:$AD$161)</f>
        <v>198.2448889525</v>
      </c>
      <c r="I11" s="48" t="s">
        <v>1030</v>
      </c>
      <c r="J11" s="51" t="n">
        <v>1350</v>
      </c>
      <c r="K11" s="51" t="n">
        <v>1200</v>
      </c>
    </row>
    <row r="13" customFormat="false" ht="15" hidden="false" customHeight="true" outlineLevel="0" collapsed="false">
      <c r="A13" s="64" t="s">
        <v>1031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</row>
    <row r="14" customFormat="false" ht="15" hidden="false" customHeight="false" outlineLevel="0" collapsed="false">
      <c r="A14" s="65" t="s">
        <v>1032</v>
      </c>
      <c r="B14" s="65" t="s">
        <v>1033</v>
      </c>
      <c r="C14" s="65" t="s">
        <v>1034</v>
      </c>
      <c r="D14" s="65" t="s">
        <v>1035</v>
      </c>
      <c r="E14" s="65" t="s">
        <v>1036</v>
      </c>
      <c r="F14" s="65" t="s">
        <v>1037</v>
      </c>
    </row>
    <row r="15" customFormat="false" ht="46.25" hidden="false" customHeight="false" outlineLevel="0" collapsed="false">
      <c r="A15" s="11" t="s">
        <v>1038</v>
      </c>
      <c r="B15" s="11" t="s">
        <v>55</v>
      </c>
      <c r="C15" s="66" t="n">
        <f aca="false">InterceptDome</f>
        <v>0.75</v>
      </c>
      <c r="D15" s="8" t="s">
        <v>587</v>
      </c>
      <c r="E15" s="8" t="s">
        <v>1039</v>
      </c>
      <c r="F15" s="8" t="s">
        <v>1040</v>
      </c>
    </row>
    <row r="16" customFormat="false" ht="35.05" hidden="false" customHeight="false" outlineLevel="0" collapsed="false">
      <c r="A16" s="14" t="s">
        <v>640</v>
      </c>
      <c r="B16" s="14" t="s">
        <v>59</v>
      </c>
      <c r="C16" s="67" t="n">
        <f aca="false">InterceptS400</f>
        <v>0.7</v>
      </c>
      <c r="D16" s="12" t="s">
        <v>1041</v>
      </c>
      <c r="E16" s="12" t="s">
        <v>1042</v>
      </c>
      <c r="F16" s="12" t="s">
        <v>1043</v>
      </c>
    </row>
    <row r="17" customFormat="false" ht="23.85" hidden="false" customHeight="false" outlineLevel="0" collapsed="false">
      <c r="A17" s="11" t="s">
        <v>1044</v>
      </c>
      <c r="B17" s="11" t="s">
        <v>62</v>
      </c>
      <c r="C17" s="66" t="n">
        <f aca="false">InterceptPatriot</f>
        <v>0.65</v>
      </c>
      <c r="D17" s="8" t="s">
        <v>1045</v>
      </c>
      <c r="E17" s="8" t="s">
        <v>1046</v>
      </c>
      <c r="F17" s="8" t="s">
        <v>1047</v>
      </c>
    </row>
    <row r="18" customFormat="false" ht="23.85" hidden="false" customHeight="false" outlineLevel="0" collapsed="false">
      <c r="A18" s="14" t="s">
        <v>1048</v>
      </c>
      <c r="B18" s="14" t="s">
        <v>65</v>
      </c>
      <c r="C18" s="67" t="n">
        <f aca="false">InterceptSiper</f>
        <v>0.6</v>
      </c>
      <c r="D18" s="12" t="s">
        <v>510</v>
      </c>
      <c r="E18" s="12" t="s">
        <v>1046</v>
      </c>
      <c r="F18" s="12" t="s">
        <v>1049</v>
      </c>
    </row>
    <row r="19" customFormat="false" ht="23.85" hidden="false" customHeight="false" outlineLevel="0" collapsed="false">
      <c r="A19" s="11" t="s">
        <v>1050</v>
      </c>
      <c r="B19" s="11" t="s">
        <v>68</v>
      </c>
      <c r="C19" s="66" t="n">
        <f aca="false">InterceptBavar</f>
        <v>0.55</v>
      </c>
      <c r="D19" s="8" t="s">
        <v>789</v>
      </c>
      <c r="E19" s="8" t="s">
        <v>1051</v>
      </c>
      <c r="F19" s="8" t="s">
        <v>1052</v>
      </c>
    </row>
  </sheetData>
  <mergeCells count="2">
    <mergeCell ref="A1:K1"/>
    <mergeCell ref="A13:K13"/>
  </mergeCells>
  <conditionalFormatting sqref="H3:H11">
    <cfRule type="colorScale" priority="2">
      <colorScale>
        <cfvo type="min" val="0"/>
        <cfvo type="percentile" val="50"/>
        <cfvo type="max" val="0"/>
        <color rgb="FFFFCDD2"/>
        <color rgb="FFFFF9C4"/>
        <color rgb="FFA5D6A7"/>
      </colorScale>
    </cfRule>
  </conditionalFormatting>
  <printOptions headings="false" gridLines="false" gridLinesSet="true" horizontalCentered="false" verticalCentered="false"/>
  <pageMargins left="0.4" right="0.4" top="0.5" bottom="0.5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&amp;LASH-SHARQ  ·  Stat Sheet v0.2</oddHeader>
    <oddFooter>&amp;RConfidential  ·  Page &amp;P /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tru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8"/>
    <col collapsed="false" customWidth="true" hidden="false" outlineLevel="0" max="5" min="5" style="0" width="36"/>
    <col collapsed="false" customWidth="true" hidden="false" outlineLevel="0" max="6" min="6" style="0" width="18"/>
  </cols>
  <sheetData>
    <row r="1" customFormat="false" ht="19.5" hidden="false" customHeight="true" outlineLevel="0" collapsed="false">
      <c r="A1" s="6" t="s">
        <v>1053</v>
      </c>
      <c r="B1" s="6"/>
      <c r="C1" s="6"/>
      <c r="D1" s="6"/>
      <c r="E1" s="6"/>
      <c r="F1" s="6"/>
    </row>
    <row r="2" customFormat="false" ht="21.75" hidden="false" customHeight="true" outlineLevel="0" collapsed="false">
      <c r="A2" s="7" t="s">
        <v>109</v>
      </c>
      <c r="B2" s="7" t="s">
        <v>1054</v>
      </c>
      <c r="C2" s="7" t="s">
        <v>1055</v>
      </c>
      <c r="D2" s="7" t="s">
        <v>1056</v>
      </c>
      <c r="E2" s="7" t="s">
        <v>1057</v>
      </c>
      <c r="F2" s="7" t="s">
        <v>1058</v>
      </c>
    </row>
    <row r="3" customFormat="false" ht="48" hidden="false" customHeight="true" outlineLevel="0" collapsed="false">
      <c r="A3" s="8" t="s">
        <v>1059</v>
      </c>
      <c r="B3" s="8" t="s">
        <v>1060</v>
      </c>
      <c r="C3" s="8" t="s">
        <v>1061</v>
      </c>
      <c r="D3" s="8" t="s">
        <v>1062</v>
      </c>
      <c r="E3" s="8" t="s">
        <v>1063</v>
      </c>
      <c r="F3" s="8" t="s">
        <v>1064</v>
      </c>
    </row>
    <row r="4" customFormat="false" ht="48" hidden="false" customHeight="true" outlineLevel="0" collapsed="false">
      <c r="A4" s="12" t="s">
        <v>1065</v>
      </c>
      <c r="B4" s="12" t="s">
        <v>1066</v>
      </c>
      <c r="C4" s="12" t="s">
        <v>1067</v>
      </c>
      <c r="D4" s="12" t="s">
        <v>1068</v>
      </c>
      <c r="E4" s="12" t="s">
        <v>1069</v>
      </c>
      <c r="F4" s="12" t="s">
        <v>1070</v>
      </c>
    </row>
    <row r="5" customFormat="false" ht="48" hidden="false" customHeight="true" outlineLevel="0" collapsed="false">
      <c r="A5" s="8" t="s">
        <v>1071</v>
      </c>
      <c r="B5" s="8" t="s">
        <v>1072</v>
      </c>
      <c r="C5" s="8" t="s">
        <v>1073</v>
      </c>
      <c r="D5" s="8" t="s">
        <v>1074</v>
      </c>
      <c r="E5" s="8" t="s">
        <v>1075</v>
      </c>
      <c r="F5" s="8" t="s">
        <v>1076</v>
      </c>
    </row>
    <row r="6" customFormat="false" ht="48" hidden="false" customHeight="true" outlineLevel="0" collapsed="false">
      <c r="A6" s="12" t="s">
        <v>1077</v>
      </c>
      <c r="B6" s="12" t="s">
        <v>1078</v>
      </c>
      <c r="C6" s="12" t="s">
        <v>1079</v>
      </c>
      <c r="D6" s="12" t="s">
        <v>1080</v>
      </c>
      <c r="E6" s="12" t="s">
        <v>1081</v>
      </c>
      <c r="F6" s="12" t="s">
        <v>1082</v>
      </c>
    </row>
    <row r="8" customFormat="false" ht="15" hidden="false" customHeight="false" outlineLevel="0" collapsed="false">
      <c r="A8" s="2" t="s">
        <v>1083</v>
      </c>
      <c r="B8" s="2"/>
      <c r="C8" s="2"/>
      <c r="D8" s="2"/>
      <c r="E8" s="2"/>
      <c r="F8" s="2"/>
    </row>
  </sheetData>
  <mergeCells count="2">
    <mergeCell ref="A1:F1"/>
    <mergeCell ref="A8:F8"/>
  </mergeCells>
  <printOptions headings="false" gridLines="false" gridLinesSet="true" horizontalCentered="false" verticalCentered="false"/>
  <pageMargins left="0.4" right="0.4" top="0.5" bottom="0.5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&amp;LASH-SHARQ  ·  Stat Sheet v0.2</oddHeader>
    <oddFooter>&amp;RConfidential  ·  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16161"/>
    <pageSetUpPr fitToPage="tru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7" min="6" style="0" width="42"/>
  </cols>
  <sheetData>
    <row r="1" customFormat="false" ht="15" hidden="false" customHeight="false" outlineLevel="0" collapsed="false">
      <c r="A1" s="65" t="s">
        <v>22</v>
      </c>
      <c r="B1" s="65" t="s">
        <v>1084</v>
      </c>
      <c r="C1" s="65" t="s">
        <v>1085</v>
      </c>
      <c r="D1" s="65" t="s">
        <v>1086</v>
      </c>
      <c r="E1" s="65" t="s">
        <v>1087</v>
      </c>
      <c r="F1" s="65" t="s">
        <v>1088</v>
      </c>
      <c r="G1" s="65" t="s">
        <v>1089</v>
      </c>
    </row>
    <row r="2" customFormat="false" ht="23.85" hidden="false" customHeight="false" outlineLevel="0" collapsed="false">
      <c r="A2" s="12" t="s">
        <v>23</v>
      </c>
      <c r="B2" s="12" t="s">
        <v>1090</v>
      </c>
      <c r="C2" s="12" t="s">
        <v>1091</v>
      </c>
      <c r="D2" s="12" t="s">
        <v>180</v>
      </c>
      <c r="E2" s="12" t="s">
        <v>1092</v>
      </c>
      <c r="F2" s="12" t="s">
        <v>1093</v>
      </c>
      <c r="G2" s="12" t="s">
        <v>1094</v>
      </c>
    </row>
    <row r="3" customFormat="false" ht="15" hidden="false" customHeight="false" outlineLevel="0" collapsed="false">
      <c r="A3" s="68"/>
      <c r="B3" s="68"/>
      <c r="C3" s="68"/>
      <c r="D3" s="69"/>
      <c r="E3" s="69"/>
      <c r="F3" s="68"/>
      <c r="G3" s="68"/>
    </row>
    <row r="4" customFormat="false" ht="15" hidden="false" customHeight="false" outlineLevel="0" collapsed="false">
      <c r="A4" s="68"/>
      <c r="B4" s="68"/>
      <c r="C4" s="68"/>
      <c r="D4" s="69"/>
      <c r="E4" s="69"/>
      <c r="F4" s="68"/>
      <c r="G4" s="68"/>
    </row>
    <row r="5" customFormat="false" ht="15" hidden="false" customHeight="false" outlineLevel="0" collapsed="false">
      <c r="A5" s="68"/>
      <c r="B5" s="68"/>
      <c r="C5" s="68"/>
      <c r="D5" s="69"/>
      <c r="E5" s="69"/>
      <c r="F5" s="68"/>
      <c r="G5" s="68"/>
    </row>
    <row r="6" customFormat="false" ht="15" hidden="false" customHeight="false" outlineLevel="0" collapsed="false">
      <c r="A6" s="68"/>
      <c r="B6" s="68"/>
      <c r="C6" s="68"/>
      <c r="D6" s="69"/>
      <c r="E6" s="69"/>
      <c r="F6" s="68"/>
      <c r="G6" s="68"/>
    </row>
    <row r="7" customFormat="false" ht="15" hidden="false" customHeight="false" outlineLevel="0" collapsed="false">
      <c r="A7" s="68"/>
      <c r="B7" s="68"/>
      <c r="C7" s="68"/>
      <c r="D7" s="69"/>
      <c r="E7" s="69"/>
      <c r="F7" s="68"/>
      <c r="G7" s="68"/>
    </row>
    <row r="8" customFormat="false" ht="15" hidden="false" customHeight="false" outlineLevel="0" collapsed="false">
      <c r="A8" s="68"/>
      <c r="B8" s="68"/>
      <c r="C8" s="68"/>
      <c r="D8" s="69"/>
      <c r="E8" s="69"/>
      <c r="F8" s="68"/>
      <c r="G8" s="68"/>
    </row>
    <row r="9" customFormat="false" ht="15" hidden="false" customHeight="false" outlineLevel="0" collapsed="false">
      <c r="A9" s="68"/>
      <c r="B9" s="68"/>
      <c r="C9" s="68"/>
      <c r="D9" s="69"/>
      <c r="E9" s="69"/>
      <c r="F9" s="68"/>
      <c r="G9" s="68"/>
    </row>
    <row r="10" customFormat="false" ht="15" hidden="false" customHeight="false" outlineLevel="0" collapsed="false">
      <c r="A10" s="68"/>
      <c r="B10" s="68"/>
      <c r="C10" s="68"/>
      <c r="D10" s="69"/>
      <c r="E10" s="69"/>
      <c r="F10" s="68"/>
      <c r="G10" s="68"/>
    </row>
    <row r="11" customFormat="false" ht="15" hidden="false" customHeight="false" outlineLevel="0" collapsed="false">
      <c r="A11" s="68"/>
      <c r="B11" s="68"/>
      <c r="C11" s="68"/>
      <c r="D11" s="69"/>
      <c r="E11" s="69"/>
      <c r="F11" s="68"/>
      <c r="G11" s="68"/>
    </row>
    <row r="12" customFormat="false" ht="15" hidden="false" customHeight="false" outlineLevel="0" collapsed="false">
      <c r="A12" s="68"/>
      <c r="B12" s="68"/>
      <c r="C12" s="68"/>
      <c r="D12" s="69"/>
      <c r="E12" s="69"/>
      <c r="F12" s="68"/>
      <c r="G12" s="68"/>
    </row>
    <row r="13" customFormat="false" ht="15" hidden="false" customHeight="false" outlineLevel="0" collapsed="false">
      <c r="A13" s="68"/>
      <c r="B13" s="68"/>
      <c r="C13" s="68"/>
      <c r="D13" s="69"/>
      <c r="E13" s="69"/>
      <c r="F13" s="68"/>
      <c r="G13" s="68"/>
    </row>
    <row r="14" customFormat="false" ht="15" hidden="false" customHeight="false" outlineLevel="0" collapsed="false">
      <c r="A14" s="68"/>
      <c r="B14" s="68"/>
      <c r="C14" s="68"/>
      <c r="D14" s="69"/>
      <c r="E14" s="69"/>
      <c r="F14" s="68"/>
      <c r="G14" s="68"/>
    </row>
    <row r="15" customFormat="false" ht="15" hidden="false" customHeight="false" outlineLevel="0" collapsed="false">
      <c r="A15" s="68"/>
      <c r="B15" s="68"/>
      <c r="C15" s="68"/>
      <c r="D15" s="69"/>
      <c r="E15" s="69"/>
      <c r="F15" s="68"/>
      <c r="G15" s="68"/>
    </row>
    <row r="16" customFormat="false" ht="15" hidden="false" customHeight="false" outlineLevel="0" collapsed="false">
      <c r="A16" s="68"/>
      <c r="B16" s="68"/>
      <c r="C16" s="68"/>
      <c r="D16" s="69"/>
      <c r="E16" s="69"/>
      <c r="F16" s="68"/>
      <c r="G16" s="68"/>
    </row>
    <row r="17" customFormat="false" ht="15" hidden="false" customHeight="false" outlineLevel="0" collapsed="false">
      <c r="A17" s="68"/>
      <c r="B17" s="68"/>
      <c r="C17" s="68"/>
      <c r="D17" s="69"/>
      <c r="E17" s="69"/>
      <c r="F17" s="68"/>
      <c r="G17" s="68"/>
    </row>
    <row r="18" customFormat="false" ht="15" hidden="false" customHeight="false" outlineLevel="0" collapsed="false">
      <c r="A18" s="68"/>
      <c r="B18" s="68"/>
      <c r="C18" s="68"/>
      <c r="D18" s="69"/>
      <c r="E18" s="69"/>
      <c r="F18" s="68"/>
      <c r="G18" s="68"/>
    </row>
    <row r="19" customFormat="false" ht="15" hidden="false" customHeight="false" outlineLevel="0" collapsed="false">
      <c r="A19" s="68"/>
      <c r="B19" s="68"/>
      <c r="C19" s="68"/>
      <c r="D19" s="69"/>
      <c r="E19" s="69"/>
      <c r="F19" s="68"/>
      <c r="G19" s="68"/>
    </row>
    <row r="20" customFormat="false" ht="15" hidden="false" customHeight="false" outlineLevel="0" collapsed="false">
      <c r="A20" s="68"/>
      <c r="B20" s="68"/>
      <c r="C20" s="68"/>
      <c r="D20" s="69"/>
      <c r="E20" s="69"/>
      <c r="F20" s="68"/>
      <c r="G20" s="68"/>
    </row>
    <row r="21" customFormat="false" ht="15" hidden="false" customHeight="false" outlineLevel="0" collapsed="false">
      <c r="A21" s="68"/>
      <c r="B21" s="68"/>
      <c r="C21" s="68"/>
      <c r="D21" s="69"/>
      <c r="E21" s="69"/>
      <c r="F21" s="68"/>
      <c r="G21" s="68"/>
    </row>
    <row r="22" customFormat="false" ht="15" hidden="false" customHeight="false" outlineLevel="0" collapsed="false">
      <c r="A22" s="68"/>
      <c r="B22" s="68"/>
      <c r="C22" s="68"/>
      <c r="D22" s="69"/>
      <c r="E22" s="69"/>
      <c r="F22" s="68"/>
      <c r="G22" s="68"/>
    </row>
    <row r="23" customFormat="false" ht="15" hidden="false" customHeight="false" outlineLevel="0" collapsed="false">
      <c r="A23" s="68"/>
      <c r="B23" s="68"/>
      <c r="C23" s="68"/>
      <c r="D23" s="69"/>
      <c r="E23" s="69"/>
      <c r="F23" s="68"/>
      <c r="G23" s="68"/>
    </row>
    <row r="24" customFormat="false" ht="15" hidden="false" customHeight="false" outlineLevel="0" collapsed="false">
      <c r="A24" s="68"/>
      <c r="B24" s="68"/>
      <c r="C24" s="68"/>
      <c r="D24" s="69"/>
      <c r="E24" s="69"/>
      <c r="F24" s="68"/>
      <c r="G24" s="68"/>
    </row>
    <row r="25" customFormat="false" ht="15" hidden="false" customHeight="false" outlineLevel="0" collapsed="false">
      <c r="A25" s="68"/>
      <c r="B25" s="68"/>
      <c r="C25" s="68"/>
      <c r="D25" s="69"/>
      <c r="E25" s="69"/>
      <c r="F25" s="68"/>
      <c r="G25" s="68"/>
    </row>
    <row r="26" customFormat="false" ht="15" hidden="false" customHeight="false" outlineLevel="0" collapsed="false">
      <c r="A26" s="68"/>
      <c r="B26" s="68"/>
      <c r="C26" s="68"/>
      <c r="D26" s="69"/>
      <c r="E26" s="69"/>
      <c r="F26" s="68"/>
      <c r="G26" s="68"/>
    </row>
    <row r="27" customFormat="false" ht="15" hidden="false" customHeight="false" outlineLevel="0" collapsed="false">
      <c r="A27" s="68"/>
      <c r="B27" s="68"/>
      <c r="C27" s="68"/>
      <c r="D27" s="69"/>
      <c r="E27" s="69"/>
      <c r="F27" s="68"/>
      <c r="G27" s="68"/>
    </row>
    <row r="28" customFormat="false" ht="15" hidden="false" customHeight="false" outlineLevel="0" collapsed="false">
      <c r="A28" s="68"/>
      <c r="B28" s="68"/>
      <c r="C28" s="68"/>
      <c r="D28" s="69"/>
      <c r="E28" s="69"/>
      <c r="F28" s="68"/>
      <c r="G28" s="68"/>
    </row>
    <row r="29" customFormat="false" ht="15" hidden="false" customHeight="false" outlineLevel="0" collapsed="false">
      <c r="A29" s="68"/>
      <c r="B29" s="68"/>
      <c r="C29" s="68"/>
      <c r="D29" s="69"/>
      <c r="E29" s="69"/>
      <c r="F29" s="68"/>
      <c r="G29" s="68"/>
    </row>
    <row r="30" customFormat="false" ht="15" hidden="false" customHeight="false" outlineLevel="0" collapsed="false">
      <c r="A30" s="68"/>
      <c r="B30" s="68"/>
      <c r="C30" s="68"/>
      <c r="D30" s="69"/>
      <c r="E30" s="69"/>
      <c r="F30" s="68"/>
      <c r="G30" s="68"/>
    </row>
    <row r="31" customFormat="false" ht="15" hidden="false" customHeight="false" outlineLevel="0" collapsed="false">
      <c r="A31" s="68"/>
      <c r="B31" s="68"/>
      <c r="C31" s="68"/>
      <c r="D31" s="69"/>
      <c r="E31" s="69"/>
      <c r="F31" s="68"/>
      <c r="G31" s="68"/>
    </row>
    <row r="34" customFormat="false" ht="15" hidden="false" customHeight="false" outlineLevel="0" collapsed="false">
      <c r="A34" s="2" t="s">
        <v>1095</v>
      </c>
      <c r="B34" s="2"/>
      <c r="C34" s="2"/>
      <c r="D34" s="2"/>
      <c r="E34" s="2"/>
      <c r="F34" s="2"/>
      <c r="G34" s="2"/>
    </row>
  </sheetData>
  <mergeCells count="1">
    <mergeCell ref="A34:G34"/>
  </mergeCells>
  <printOptions headings="false" gridLines="false" gridLinesSet="true" horizontalCentered="false" verticalCentered="false"/>
  <pageMargins left="0.4" right="0.4" top="0.5" bottom="0.5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&amp;LASH-SHARQ  ·  Stat Sheet v0.2</oddHeader>
    <oddFooter>&amp;RConfidential  ·  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2026-08-29T15:17:05Z</dcterms:created>
  <dc:creator>openpyxl</dc:creator>
  <dc:description/>
  <dc:language>en-US</dc:language>
  <cp:lastModifiedBy/>
  <dcterms:modified xsi:type="dcterms:W3CDTF">2026-08-29T15:17:08Z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